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0832df163a584ae/Documents/Desktop/"/>
    </mc:Choice>
  </mc:AlternateContent>
  <xr:revisionPtr revIDLastSave="0" documentId="8_{FF2812C3-F8C7-4910-94A5-6FFAE0184C67}" xr6:coauthVersionLast="47" xr6:coauthVersionMax="47" xr10:uidLastSave="{00000000-0000-0000-0000-000000000000}"/>
  <bookViews>
    <workbookView xWindow="-110" yWindow="-110" windowWidth="19420" windowHeight="10300" firstSheet="3" activeTab="8" xr2:uid="{00000000-000D-0000-FFFF-FFFF00000000}"/>
  </bookViews>
  <sheets>
    <sheet name="Raw Data" sheetId="2" r:id="rId1"/>
    <sheet name="Analysis" sheetId="3" r:id="rId2"/>
    <sheet name="Customer Analysis" sheetId="4" r:id="rId3"/>
    <sheet name="DateTime_Filter" sheetId="5" r:id="rId4"/>
    <sheet name="What-If" sheetId="6" r:id="rId5"/>
    <sheet name="Regression" sheetId="7" r:id="rId6"/>
    <sheet name="Visualizations" sheetId="8" r:id="rId7"/>
    <sheet name="Dashboard" sheetId="9" r:id="rId8"/>
    <sheet name="Report" sheetId="10" r:id="rId9"/>
  </sheets>
  <definedNames>
    <definedName name="_xlnm._FilterDatabase" localSheetId="0" hidden="1">'Raw Data'!$A$1:$U$251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0" l="1"/>
  <c r="A20" i="10"/>
  <c r="A19" i="10"/>
  <c r="A18" i="10"/>
  <c r="A17" i="10"/>
  <c r="A20" i="9"/>
  <c r="A19" i="9"/>
  <c r="A18" i="9"/>
  <c r="A17" i="9"/>
  <c r="A16" i="9"/>
  <c r="B28" i="7"/>
  <c r="C22" i="7"/>
  <c r="B22" i="7"/>
  <c r="G22" i="7" s="1"/>
  <c r="C21" i="7"/>
  <c r="B21" i="7"/>
  <c r="G21" i="7" s="1"/>
  <c r="C20" i="7"/>
  <c r="B20" i="7"/>
  <c r="B27" i="7" s="1"/>
  <c r="B16" i="7"/>
  <c r="C15" i="7"/>
  <c r="D15" i="7" s="1"/>
  <c r="B15" i="7"/>
  <c r="G20" i="7" s="1"/>
  <c r="E14" i="7"/>
  <c r="F14" i="7" s="1"/>
  <c r="C14" i="7"/>
  <c r="B10" i="7"/>
  <c r="B9" i="7"/>
  <c r="B7" i="7"/>
  <c r="B29" i="6"/>
  <c r="B25" i="6"/>
  <c r="B31" i="6" s="1"/>
  <c r="B20" i="6"/>
  <c r="D17" i="6"/>
  <c r="C17" i="6"/>
  <c r="E16" i="6"/>
  <c r="E20" i="6" s="1"/>
  <c r="D16" i="6"/>
  <c r="D20" i="6" s="1"/>
  <c r="C16" i="6"/>
  <c r="B16" i="6"/>
  <c r="E12" i="6"/>
  <c r="E11" i="6"/>
  <c r="E17" i="6" s="1"/>
  <c r="E10" i="6"/>
  <c r="B4" i="6"/>
  <c r="B17" i="6" s="1"/>
  <c r="B18" i="6" s="1"/>
  <c r="C68" i="5"/>
  <c r="C67" i="5"/>
  <c r="C66" i="5"/>
  <c r="C65" i="5"/>
  <c r="C64" i="5"/>
  <c r="C63" i="5"/>
  <c r="C62" i="5"/>
  <c r="B14" i="5"/>
  <c r="B12" i="5"/>
  <c r="B8" i="5"/>
  <c r="B7" i="5"/>
  <c r="B6" i="5"/>
  <c r="B5" i="5"/>
  <c r="N57" i="4"/>
  <c r="L57" i="4"/>
  <c r="K57" i="4"/>
  <c r="M57" i="4" s="1"/>
  <c r="H57" i="4"/>
  <c r="G57" i="4"/>
  <c r="F57" i="4"/>
  <c r="E57" i="4"/>
  <c r="C57" i="4"/>
  <c r="D57" i="4" s="1"/>
  <c r="B57" i="4"/>
  <c r="N56" i="4"/>
  <c r="L56" i="4"/>
  <c r="K56" i="4"/>
  <c r="G56" i="4"/>
  <c r="F56" i="4"/>
  <c r="E56" i="4"/>
  <c r="H56" i="4" s="1"/>
  <c r="C56" i="4"/>
  <c r="D56" i="4" s="1"/>
  <c r="B56" i="4"/>
  <c r="L55" i="4"/>
  <c r="K55" i="4"/>
  <c r="G55" i="4"/>
  <c r="H55" i="4" s="1"/>
  <c r="F55" i="4"/>
  <c r="E55" i="4"/>
  <c r="B55" i="4"/>
  <c r="C55" i="4" s="1"/>
  <c r="D55" i="4" s="1"/>
  <c r="N54" i="4"/>
  <c r="L54" i="4"/>
  <c r="K54" i="4"/>
  <c r="G54" i="4"/>
  <c r="F54" i="4"/>
  <c r="E54" i="4"/>
  <c r="D54" i="4"/>
  <c r="B54" i="4"/>
  <c r="C54" i="4" s="1"/>
  <c r="L53" i="4"/>
  <c r="K53" i="4"/>
  <c r="G53" i="4"/>
  <c r="F53" i="4"/>
  <c r="E53" i="4"/>
  <c r="C53" i="4"/>
  <c r="D53" i="4" s="1"/>
  <c r="B53" i="4"/>
  <c r="L52" i="4"/>
  <c r="N52" i="4" s="1"/>
  <c r="K52" i="4"/>
  <c r="G52" i="4"/>
  <c r="F52" i="4"/>
  <c r="E52" i="4"/>
  <c r="B52" i="4"/>
  <c r="C52" i="4" s="1"/>
  <c r="D52" i="4" s="1"/>
  <c r="L51" i="4"/>
  <c r="K51" i="4"/>
  <c r="G51" i="4"/>
  <c r="F51" i="4"/>
  <c r="E51" i="4"/>
  <c r="D51" i="4"/>
  <c r="C51" i="4"/>
  <c r="B51" i="4"/>
  <c r="N50" i="4"/>
  <c r="L50" i="4"/>
  <c r="K50" i="4"/>
  <c r="M50" i="4" s="1"/>
  <c r="H50" i="4"/>
  <c r="G50" i="4"/>
  <c r="F50" i="4"/>
  <c r="E50" i="4"/>
  <c r="B50" i="4"/>
  <c r="C50" i="4" s="1"/>
  <c r="D50" i="4" s="1"/>
  <c r="L49" i="4"/>
  <c r="K49" i="4"/>
  <c r="G49" i="4"/>
  <c r="F49" i="4"/>
  <c r="E49" i="4"/>
  <c r="C49" i="4"/>
  <c r="D49" i="4" s="1"/>
  <c r="B49" i="4"/>
  <c r="L48" i="4"/>
  <c r="K48" i="4"/>
  <c r="H48" i="4"/>
  <c r="G48" i="4"/>
  <c r="F48" i="4"/>
  <c r="E48" i="4"/>
  <c r="B48" i="4"/>
  <c r="C48" i="4" s="1"/>
  <c r="D48" i="4" s="1"/>
  <c r="N47" i="4"/>
  <c r="L47" i="4"/>
  <c r="K47" i="4"/>
  <c r="G47" i="4"/>
  <c r="H47" i="4" s="1"/>
  <c r="F47" i="4"/>
  <c r="E47" i="4"/>
  <c r="C47" i="4"/>
  <c r="D47" i="4" s="1"/>
  <c r="B47" i="4"/>
  <c r="L46" i="4"/>
  <c r="K46" i="4"/>
  <c r="H46" i="4"/>
  <c r="G46" i="4"/>
  <c r="F46" i="4"/>
  <c r="E46" i="4"/>
  <c r="B46" i="4"/>
  <c r="C46" i="4" s="1"/>
  <c r="D46" i="4" s="1"/>
  <c r="L45" i="4"/>
  <c r="N45" i="4" s="1"/>
  <c r="K45" i="4"/>
  <c r="H45" i="4"/>
  <c r="G45" i="4"/>
  <c r="F45" i="4"/>
  <c r="E45" i="4"/>
  <c r="C45" i="4"/>
  <c r="D45" i="4" s="1"/>
  <c r="B45" i="4"/>
  <c r="L44" i="4"/>
  <c r="K44" i="4"/>
  <c r="G44" i="4"/>
  <c r="F44" i="4"/>
  <c r="E44" i="4"/>
  <c r="H44" i="4" s="1"/>
  <c r="B44" i="4"/>
  <c r="C44" i="4" s="1"/>
  <c r="D44" i="4" s="1"/>
  <c r="L43" i="4"/>
  <c r="K43" i="4"/>
  <c r="G43" i="4"/>
  <c r="F43" i="4"/>
  <c r="E43" i="4"/>
  <c r="D43" i="4"/>
  <c r="C43" i="4"/>
  <c r="B43" i="4"/>
  <c r="N42" i="4"/>
  <c r="L42" i="4"/>
  <c r="K42" i="4"/>
  <c r="G42" i="4"/>
  <c r="H42" i="4" s="1"/>
  <c r="F42" i="4"/>
  <c r="E42" i="4"/>
  <c r="B42" i="4"/>
  <c r="C42" i="4" s="1"/>
  <c r="D42" i="4" s="1"/>
  <c r="L41" i="4"/>
  <c r="K41" i="4"/>
  <c r="G41" i="4"/>
  <c r="F41" i="4"/>
  <c r="E41" i="4"/>
  <c r="C41" i="4"/>
  <c r="D41" i="4" s="1"/>
  <c r="B41" i="4"/>
  <c r="L40" i="4"/>
  <c r="K40" i="4"/>
  <c r="M40" i="4" s="1"/>
  <c r="H40" i="4"/>
  <c r="G40" i="4"/>
  <c r="F40" i="4"/>
  <c r="E40" i="4"/>
  <c r="C40" i="4"/>
  <c r="D40" i="4" s="1"/>
  <c r="B40" i="4"/>
  <c r="L39" i="4"/>
  <c r="K39" i="4"/>
  <c r="H39" i="4"/>
  <c r="G39" i="4"/>
  <c r="F39" i="4"/>
  <c r="E39" i="4"/>
  <c r="B39" i="4"/>
  <c r="C39" i="4" s="1"/>
  <c r="D39" i="4" s="1"/>
  <c r="L38" i="4"/>
  <c r="K38" i="4"/>
  <c r="G38" i="4"/>
  <c r="F38" i="4"/>
  <c r="E38" i="4"/>
  <c r="B38" i="4"/>
  <c r="C38" i="4" s="1"/>
  <c r="D38" i="4" s="1"/>
  <c r="L37" i="4"/>
  <c r="K37" i="4"/>
  <c r="M37" i="4" s="1"/>
  <c r="G37" i="4"/>
  <c r="F37" i="4"/>
  <c r="E37" i="4"/>
  <c r="B37" i="4"/>
  <c r="C37" i="4" s="1"/>
  <c r="D37" i="4" s="1"/>
  <c r="L36" i="4"/>
  <c r="K36" i="4"/>
  <c r="H36" i="4"/>
  <c r="G36" i="4"/>
  <c r="F36" i="4"/>
  <c r="E36" i="4"/>
  <c r="B36" i="4"/>
  <c r="C36" i="4" s="1"/>
  <c r="D36" i="4" s="1"/>
  <c r="L35" i="4"/>
  <c r="K35" i="4"/>
  <c r="G35" i="4"/>
  <c r="F35" i="4"/>
  <c r="E35" i="4"/>
  <c r="D35" i="4"/>
  <c r="C35" i="4"/>
  <c r="B35" i="4"/>
  <c r="N34" i="4"/>
  <c r="L34" i="4"/>
  <c r="K34" i="4"/>
  <c r="H34" i="4"/>
  <c r="G34" i="4"/>
  <c r="F34" i="4"/>
  <c r="E34" i="4"/>
  <c r="C34" i="4"/>
  <c r="D34" i="4" s="1"/>
  <c r="B34" i="4"/>
  <c r="L33" i="4"/>
  <c r="K33" i="4"/>
  <c r="G33" i="4"/>
  <c r="H33" i="4" s="1"/>
  <c r="F33" i="4"/>
  <c r="E33" i="4"/>
  <c r="C33" i="4"/>
  <c r="D33" i="4" s="1"/>
  <c r="B33" i="4"/>
  <c r="L32" i="4"/>
  <c r="K32" i="4"/>
  <c r="M32" i="4" s="1"/>
  <c r="H32" i="4"/>
  <c r="G32" i="4"/>
  <c r="F32" i="4"/>
  <c r="E32" i="4"/>
  <c r="D32" i="4"/>
  <c r="C32" i="4"/>
  <c r="B32" i="4"/>
  <c r="L31" i="4"/>
  <c r="K31" i="4"/>
  <c r="G31" i="4"/>
  <c r="F31" i="4"/>
  <c r="E31" i="4"/>
  <c r="H31" i="4" s="1"/>
  <c r="B31" i="4"/>
  <c r="C31" i="4" s="1"/>
  <c r="D31" i="4" s="1"/>
  <c r="L30" i="4"/>
  <c r="K30" i="4"/>
  <c r="G30" i="4"/>
  <c r="F30" i="4"/>
  <c r="E30" i="4"/>
  <c r="B30" i="4"/>
  <c r="C30" i="4" s="1"/>
  <c r="D30" i="4" s="1"/>
  <c r="L29" i="4"/>
  <c r="K29" i="4"/>
  <c r="G29" i="4"/>
  <c r="F29" i="4"/>
  <c r="E29" i="4"/>
  <c r="D29" i="4"/>
  <c r="C29" i="4"/>
  <c r="B29" i="4"/>
  <c r="L28" i="4"/>
  <c r="K28" i="4"/>
  <c r="G28" i="4"/>
  <c r="F28" i="4"/>
  <c r="E28" i="4"/>
  <c r="B28" i="4"/>
  <c r="C28" i="4" s="1"/>
  <c r="D28" i="4" s="1"/>
  <c r="L27" i="4"/>
  <c r="N27" i="4" s="1"/>
  <c r="K27" i="4"/>
  <c r="I27" i="4"/>
  <c r="G27" i="4"/>
  <c r="H27" i="4" s="1"/>
  <c r="F27" i="4"/>
  <c r="E27" i="4"/>
  <c r="D27" i="4"/>
  <c r="C27" i="4"/>
  <c r="B27" i="4"/>
  <c r="L26" i="4"/>
  <c r="K26" i="4"/>
  <c r="H26" i="4"/>
  <c r="G26" i="4"/>
  <c r="F26" i="4"/>
  <c r="E26" i="4"/>
  <c r="C26" i="4"/>
  <c r="D26" i="4" s="1"/>
  <c r="B26" i="4"/>
  <c r="N25" i="4"/>
  <c r="L25" i="4"/>
  <c r="K25" i="4"/>
  <c r="G25" i="4"/>
  <c r="F25" i="4"/>
  <c r="E25" i="4"/>
  <c r="C25" i="4"/>
  <c r="D25" i="4" s="1"/>
  <c r="B25" i="4"/>
  <c r="L24" i="4"/>
  <c r="K24" i="4"/>
  <c r="G24" i="4"/>
  <c r="F24" i="4"/>
  <c r="E24" i="4"/>
  <c r="H24" i="4" s="1"/>
  <c r="C24" i="4"/>
  <c r="D24" i="4" s="1"/>
  <c r="B24" i="4"/>
  <c r="L23" i="4"/>
  <c r="K23" i="4"/>
  <c r="H23" i="4"/>
  <c r="G23" i="4"/>
  <c r="F23" i="4"/>
  <c r="E23" i="4"/>
  <c r="B23" i="4"/>
  <c r="C23" i="4" s="1"/>
  <c r="D23" i="4" s="1"/>
  <c r="M22" i="4"/>
  <c r="L22" i="4"/>
  <c r="K22" i="4"/>
  <c r="G22" i="4"/>
  <c r="F22" i="4"/>
  <c r="E22" i="4"/>
  <c r="B22" i="4"/>
  <c r="C22" i="4" s="1"/>
  <c r="D22" i="4" s="1"/>
  <c r="L21" i="4"/>
  <c r="K21" i="4"/>
  <c r="G21" i="4"/>
  <c r="F21" i="4"/>
  <c r="E21" i="4"/>
  <c r="B21" i="4"/>
  <c r="C21" i="4" s="1"/>
  <c r="D21" i="4" s="1"/>
  <c r="L20" i="4"/>
  <c r="N20" i="4" s="1"/>
  <c r="K20" i="4"/>
  <c r="H20" i="4"/>
  <c r="G20" i="4"/>
  <c r="F20" i="4"/>
  <c r="E20" i="4"/>
  <c r="D20" i="4"/>
  <c r="B20" i="4"/>
  <c r="C20" i="4" s="1"/>
  <c r="L19" i="4"/>
  <c r="N19" i="4" s="1"/>
  <c r="K19" i="4"/>
  <c r="G19" i="4"/>
  <c r="F19" i="4"/>
  <c r="E19" i="4"/>
  <c r="D19" i="4"/>
  <c r="C19" i="4"/>
  <c r="B19" i="4"/>
  <c r="N18" i="4"/>
  <c r="L18" i="4"/>
  <c r="K18" i="4"/>
  <c r="H18" i="4"/>
  <c r="G18" i="4"/>
  <c r="F18" i="4"/>
  <c r="E18" i="4"/>
  <c r="B18" i="4"/>
  <c r="C18" i="4" s="1"/>
  <c r="D18" i="4" s="1"/>
  <c r="L17" i="4"/>
  <c r="K17" i="4"/>
  <c r="G17" i="4"/>
  <c r="H17" i="4" s="1"/>
  <c r="F17" i="4"/>
  <c r="E17" i="4"/>
  <c r="C17" i="4"/>
  <c r="D17" i="4" s="1"/>
  <c r="B17" i="4"/>
  <c r="L16" i="4"/>
  <c r="K16" i="4"/>
  <c r="H16" i="4"/>
  <c r="G16" i="4"/>
  <c r="F16" i="4"/>
  <c r="E16" i="4"/>
  <c r="D16" i="4"/>
  <c r="C16" i="4"/>
  <c r="B16" i="4"/>
  <c r="L15" i="4"/>
  <c r="K15" i="4"/>
  <c r="H15" i="4"/>
  <c r="G15" i="4"/>
  <c r="F15" i="4"/>
  <c r="E15" i="4"/>
  <c r="B15" i="4"/>
  <c r="C15" i="4" s="1"/>
  <c r="D15" i="4" s="1"/>
  <c r="L14" i="4"/>
  <c r="K14" i="4"/>
  <c r="G14" i="4"/>
  <c r="F14" i="4"/>
  <c r="E14" i="4"/>
  <c r="B14" i="4"/>
  <c r="C14" i="4" s="1"/>
  <c r="D14" i="4" s="1"/>
  <c r="L13" i="4"/>
  <c r="K13" i="4"/>
  <c r="G13" i="4"/>
  <c r="F13" i="4"/>
  <c r="E13" i="4"/>
  <c r="B13" i="4"/>
  <c r="C13" i="4" s="1"/>
  <c r="D13" i="4" s="1"/>
  <c r="M12" i="4"/>
  <c r="L12" i="4"/>
  <c r="N12" i="4" s="1"/>
  <c r="K12" i="4"/>
  <c r="G12" i="4"/>
  <c r="F12" i="4"/>
  <c r="E12" i="4"/>
  <c r="B12" i="4"/>
  <c r="C12" i="4" s="1"/>
  <c r="D12" i="4" s="1"/>
  <c r="N11" i="4"/>
  <c r="L11" i="4"/>
  <c r="K11" i="4"/>
  <c r="M11" i="4" s="1"/>
  <c r="G11" i="4"/>
  <c r="F11" i="4"/>
  <c r="E11" i="4"/>
  <c r="D11" i="4"/>
  <c r="C11" i="4"/>
  <c r="B11" i="4"/>
  <c r="N10" i="4"/>
  <c r="L10" i="4"/>
  <c r="K10" i="4"/>
  <c r="I10" i="4"/>
  <c r="H10" i="4"/>
  <c r="G10" i="4"/>
  <c r="F10" i="4"/>
  <c r="E10" i="4"/>
  <c r="B10" i="4"/>
  <c r="C10" i="4" s="1"/>
  <c r="D10" i="4" s="1"/>
  <c r="N9" i="4"/>
  <c r="M9" i="4"/>
  <c r="L9" i="4"/>
  <c r="K9" i="4"/>
  <c r="G9" i="4"/>
  <c r="I43" i="4" s="1"/>
  <c r="F9" i="4"/>
  <c r="E9" i="4"/>
  <c r="C9" i="4"/>
  <c r="D9" i="4" s="1"/>
  <c r="B9" i="4"/>
  <c r="M8" i="4"/>
  <c r="L8" i="4"/>
  <c r="N41" i="4" s="1"/>
  <c r="K8" i="4"/>
  <c r="M47" i="4" s="1"/>
  <c r="G8" i="4"/>
  <c r="F8" i="4"/>
  <c r="E8" i="4"/>
  <c r="H8" i="4" s="1"/>
  <c r="B8" i="4"/>
  <c r="C8" i="4" s="1"/>
  <c r="D8" i="4" s="1"/>
  <c r="F70" i="3"/>
  <c r="D70" i="3"/>
  <c r="D71" i="3" s="1"/>
  <c r="C70" i="3"/>
  <c r="B70" i="3"/>
  <c r="F69" i="3"/>
  <c r="D69" i="3"/>
  <c r="C69" i="3"/>
  <c r="B69" i="3"/>
  <c r="F68" i="3"/>
  <c r="D68" i="3"/>
  <c r="C68" i="3"/>
  <c r="C71" i="3" s="1"/>
  <c r="B68" i="3"/>
  <c r="B71" i="3" s="1"/>
  <c r="F63" i="3"/>
  <c r="D63" i="3"/>
  <c r="C63" i="3"/>
  <c r="B63" i="3"/>
  <c r="D62" i="3"/>
  <c r="C62" i="3"/>
  <c r="B62" i="3"/>
  <c r="F62" i="3" s="1"/>
  <c r="D61" i="3"/>
  <c r="C61" i="3"/>
  <c r="F61" i="3" s="1"/>
  <c r="B61" i="3"/>
  <c r="D60" i="3"/>
  <c r="C60" i="3"/>
  <c r="C64" i="3" s="1"/>
  <c r="B60" i="3"/>
  <c r="D43" i="3"/>
  <c r="A43" i="3"/>
  <c r="F43" i="3" s="1"/>
  <c r="G38" i="3"/>
  <c r="F38" i="3"/>
  <c r="E38" i="3"/>
  <c r="D38" i="3"/>
  <c r="C38" i="3"/>
  <c r="I38" i="3" s="1"/>
  <c r="B38" i="3"/>
  <c r="G37" i="3"/>
  <c r="F37" i="3"/>
  <c r="H37" i="3" s="1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B77" i="3" s="1"/>
  <c r="F34" i="3"/>
  <c r="H34" i="3" s="1"/>
  <c r="E34" i="3"/>
  <c r="D34" i="3"/>
  <c r="C34" i="3"/>
  <c r="I34" i="3" s="1"/>
  <c r="B34" i="3"/>
  <c r="G33" i="3"/>
  <c r="F33" i="3"/>
  <c r="H33" i="3" s="1"/>
  <c r="E33" i="3"/>
  <c r="D33" i="3"/>
  <c r="C33" i="3"/>
  <c r="B33" i="3"/>
  <c r="G32" i="3"/>
  <c r="F32" i="3"/>
  <c r="H32" i="3" s="1"/>
  <c r="E32" i="3"/>
  <c r="D32" i="3"/>
  <c r="C32" i="3"/>
  <c r="B32" i="3"/>
  <c r="G31" i="3"/>
  <c r="F31" i="3"/>
  <c r="E31" i="3"/>
  <c r="D31" i="3"/>
  <c r="C31" i="3"/>
  <c r="I31" i="3" s="1"/>
  <c r="B31" i="3"/>
  <c r="G30" i="3"/>
  <c r="C77" i="3" s="1"/>
  <c r="F30" i="3"/>
  <c r="E30" i="3"/>
  <c r="E39" i="3" s="1"/>
  <c r="D30" i="3"/>
  <c r="C30" i="3"/>
  <c r="I30" i="3" s="1"/>
  <c r="B30" i="3"/>
  <c r="G29" i="3"/>
  <c r="F29" i="3"/>
  <c r="B76" i="3" s="1"/>
  <c r="E29" i="3"/>
  <c r="D29" i="3"/>
  <c r="C29" i="3"/>
  <c r="B29" i="3"/>
  <c r="B25" i="3"/>
  <c r="D24" i="3"/>
  <c r="C24" i="3"/>
  <c r="B24" i="3"/>
  <c r="F24" i="3" s="1"/>
  <c r="D23" i="3"/>
  <c r="C23" i="3"/>
  <c r="B23" i="3"/>
  <c r="F23" i="3" s="1"/>
  <c r="D22" i="3"/>
  <c r="D25" i="3" s="1"/>
  <c r="C22" i="3"/>
  <c r="C25" i="3" s="1"/>
  <c r="B22" i="3"/>
  <c r="F17" i="3"/>
  <c r="D17" i="3"/>
  <c r="C17" i="3"/>
  <c r="B17" i="3"/>
  <c r="G17" i="3" s="1"/>
  <c r="D20" i="9" s="1"/>
  <c r="D16" i="3"/>
  <c r="C16" i="3"/>
  <c r="B16" i="3"/>
  <c r="D15" i="3"/>
  <c r="C15" i="3"/>
  <c r="B15" i="3"/>
  <c r="G14" i="3"/>
  <c r="D17" i="9" s="1"/>
  <c r="D14" i="3"/>
  <c r="C14" i="3"/>
  <c r="C18" i="3" s="1"/>
  <c r="B14" i="3"/>
  <c r="F13" i="3"/>
  <c r="D13" i="3"/>
  <c r="D18" i="3" s="1"/>
  <c r="C13" i="3"/>
  <c r="B13" i="3"/>
  <c r="G13" i="3" s="1"/>
  <c r="D16" i="9" s="1"/>
  <c r="B9" i="3"/>
  <c r="B8" i="3"/>
  <c r="I5" i="9" s="1"/>
  <c r="B6" i="3"/>
  <c r="E5" i="9" s="1"/>
  <c r="B5" i="3"/>
  <c r="B4" i="3"/>
  <c r="T251" i="2"/>
  <c r="S251" i="2"/>
  <c r="R251" i="2"/>
  <c r="Q251" i="2"/>
  <c r="P251" i="2"/>
  <c r="O251" i="2"/>
  <c r="U250" i="2"/>
  <c r="T250" i="2"/>
  <c r="S250" i="2"/>
  <c r="R250" i="2"/>
  <c r="Q250" i="2"/>
  <c r="P250" i="2"/>
  <c r="O250" i="2"/>
  <c r="U249" i="2"/>
  <c r="T249" i="2"/>
  <c r="S249" i="2"/>
  <c r="R249" i="2"/>
  <c r="Q249" i="2"/>
  <c r="P249" i="2"/>
  <c r="O249" i="2"/>
  <c r="U248" i="2"/>
  <c r="T248" i="2"/>
  <c r="S248" i="2"/>
  <c r="R248" i="2"/>
  <c r="Q248" i="2"/>
  <c r="P248" i="2"/>
  <c r="O248" i="2"/>
  <c r="U247" i="2"/>
  <c r="T247" i="2"/>
  <c r="S247" i="2"/>
  <c r="R247" i="2"/>
  <c r="Q247" i="2"/>
  <c r="P247" i="2"/>
  <c r="O247" i="2"/>
  <c r="U246" i="2"/>
  <c r="T246" i="2"/>
  <c r="S246" i="2"/>
  <c r="R246" i="2"/>
  <c r="Q246" i="2"/>
  <c r="P246" i="2"/>
  <c r="O246" i="2"/>
  <c r="T245" i="2"/>
  <c r="S245" i="2"/>
  <c r="R245" i="2"/>
  <c r="Q245" i="2"/>
  <c r="P245" i="2"/>
  <c r="O245" i="2"/>
  <c r="U244" i="2"/>
  <c r="T244" i="2"/>
  <c r="S244" i="2"/>
  <c r="R244" i="2"/>
  <c r="Q244" i="2"/>
  <c r="P244" i="2"/>
  <c r="O244" i="2"/>
  <c r="U243" i="2"/>
  <c r="T243" i="2"/>
  <c r="S243" i="2"/>
  <c r="R243" i="2"/>
  <c r="Q243" i="2"/>
  <c r="P243" i="2"/>
  <c r="O243" i="2"/>
  <c r="U242" i="2"/>
  <c r="T242" i="2"/>
  <c r="S242" i="2"/>
  <c r="R242" i="2"/>
  <c r="Q242" i="2"/>
  <c r="P242" i="2"/>
  <c r="O242" i="2"/>
  <c r="U241" i="2"/>
  <c r="T241" i="2"/>
  <c r="S241" i="2"/>
  <c r="R241" i="2"/>
  <c r="Q241" i="2"/>
  <c r="P241" i="2"/>
  <c r="O241" i="2"/>
  <c r="U240" i="2"/>
  <c r="T240" i="2"/>
  <c r="S240" i="2"/>
  <c r="R240" i="2"/>
  <c r="Q240" i="2"/>
  <c r="P240" i="2"/>
  <c r="O240" i="2"/>
  <c r="U239" i="2"/>
  <c r="T239" i="2"/>
  <c r="S239" i="2"/>
  <c r="R239" i="2"/>
  <c r="Q239" i="2"/>
  <c r="P239" i="2"/>
  <c r="O239" i="2"/>
  <c r="T238" i="2"/>
  <c r="S238" i="2"/>
  <c r="R238" i="2"/>
  <c r="Q238" i="2"/>
  <c r="P238" i="2"/>
  <c r="O238" i="2"/>
  <c r="T237" i="2"/>
  <c r="S237" i="2"/>
  <c r="R237" i="2"/>
  <c r="Q237" i="2"/>
  <c r="P237" i="2"/>
  <c r="O237" i="2"/>
  <c r="U236" i="2"/>
  <c r="T236" i="2"/>
  <c r="S236" i="2"/>
  <c r="R236" i="2"/>
  <c r="Q236" i="2"/>
  <c r="P236" i="2"/>
  <c r="O236" i="2"/>
  <c r="U235" i="2"/>
  <c r="T235" i="2"/>
  <c r="S235" i="2"/>
  <c r="R235" i="2"/>
  <c r="Q235" i="2"/>
  <c r="P235" i="2"/>
  <c r="O235" i="2"/>
  <c r="U234" i="2"/>
  <c r="T234" i="2"/>
  <c r="S234" i="2"/>
  <c r="R234" i="2"/>
  <c r="Q234" i="2"/>
  <c r="P234" i="2"/>
  <c r="O234" i="2"/>
  <c r="U233" i="2"/>
  <c r="T233" i="2"/>
  <c r="S233" i="2"/>
  <c r="R233" i="2"/>
  <c r="Q233" i="2"/>
  <c r="P233" i="2"/>
  <c r="O233" i="2"/>
  <c r="U232" i="2"/>
  <c r="T232" i="2"/>
  <c r="S232" i="2"/>
  <c r="R232" i="2"/>
  <c r="Q232" i="2"/>
  <c r="P232" i="2"/>
  <c r="O232" i="2"/>
  <c r="U231" i="2"/>
  <c r="T231" i="2"/>
  <c r="S231" i="2"/>
  <c r="R231" i="2"/>
  <c r="Q231" i="2"/>
  <c r="P231" i="2"/>
  <c r="O231" i="2"/>
  <c r="U230" i="2"/>
  <c r="T230" i="2"/>
  <c r="S230" i="2"/>
  <c r="R230" i="2"/>
  <c r="Q230" i="2"/>
  <c r="P230" i="2"/>
  <c r="O230" i="2"/>
  <c r="U229" i="2"/>
  <c r="T229" i="2"/>
  <c r="S229" i="2"/>
  <c r="R229" i="2"/>
  <c r="Q229" i="2"/>
  <c r="P229" i="2"/>
  <c r="O229" i="2"/>
  <c r="U228" i="2"/>
  <c r="T228" i="2"/>
  <c r="S228" i="2"/>
  <c r="R228" i="2"/>
  <c r="Q228" i="2"/>
  <c r="P228" i="2"/>
  <c r="O228" i="2"/>
  <c r="U227" i="2"/>
  <c r="T227" i="2"/>
  <c r="S227" i="2"/>
  <c r="R227" i="2"/>
  <c r="Q227" i="2"/>
  <c r="P227" i="2"/>
  <c r="O227" i="2"/>
  <c r="U226" i="2"/>
  <c r="T226" i="2"/>
  <c r="S226" i="2"/>
  <c r="R226" i="2"/>
  <c r="Q226" i="2"/>
  <c r="P226" i="2"/>
  <c r="O226" i="2"/>
  <c r="U225" i="2"/>
  <c r="T225" i="2"/>
  <c r="S225" i="2"/>
  <c r="R225" i="2"/>
  <c r="Q225" i="2"/>
  <c r="P225" i="2"/>
  <c r="O225" i="2"/>
  <c r="U224" i="2"/>
  <c r="T224" i="2"/>
  <c r="S224" i="2"/>
  <c r="R224" i="2"/>
  <c r="Q224" i="2"/>
  <c r="P224" i="2"/>
  <c r="O224" i="2"/>
  <c r="U223" i="2"/>
  <c r="T223" i="2"/>
  <c r="S223" i="2"/>
  <c r="R223" i="2"/>
  <c r="Q223" i="2"/>
  <c r="P223" i="2"/>
  <c r="O223" i="2"/>
  <c r="U222" i="2"/>
  <c r="T222" i="2"/>
  <c r="S222" i="2"/>
  <c r="R222" i="2"/>
  <c r="Q222" i="2"/>
  <c r="P222" i="2"/>
  <c r="O222" i="2"/>
  <c r="U221" i="2"/>
  <c r="T221" i="2"/>
  <c r="S221" i="2"/>
  <c r="R221" i="2"/>
  <c r="Q221" i="2"/>
  <c r="P221" i="2"/>
  <c r="O221" i="2"/>
  <c r="U220" i="2"/>
  <c r="T220" i="2"/>
  <c r="S220" i="2"/>
  <c r="R220" i="2"/>
  <c r="Q220" i="2"/>
  <c r="P220" i="2"/>
  <c r="O220" i="2"/>
  <c r="U219" i="2"/>
  <c r="T219" i="2"/>
  <c r="S219" i="2"/>
  <c r="R219" i="2"/>
  <c r="Q219" i="2"/>
  <c r="P219" i="2"/>
  <c r="O219" i="2"/>
  <c r="U218" i="2"/>
  <c r="T218" i="2"/>
  <c r="S218" i="2"/>
  <c r="R218" i="2"/>
  <c r="Q218" i="2"/>
  <c r="P218" i="2"/>
  <c r="O218" i="2"/>
  <c r="U217" i="2"/>
  <c r="T217" i="2"/>
  <c r="S217" i="2"/>
  <c r="R217" i="2"/>
  <c r="Q217" i="2"/>
  <c r="P217" i="2"/>
  <c r="O217" i="2"/>
  <c r="U216" i="2"/>
  <c r="T216" i="2"/>
  <c r="S216" i="2"/>
  <c r="R216" i="2"/>
  <c r="Q216" i="2"/>
  <c r="P216" i="2"/>
  <c r="O216" i="2"/>
  <c r="U215" i="2"/>
  <c r="T215" i="2"/>
  <c r="S215" i="2"/>
  <c r="R215" i="2"/>
  <c r="Q215" i="2"/>
  <c r="P215" i="2"/>
  <c r="O215" i="2"/>
  <c r="U214" i="2"/>
  <c r="T214" i="2"/>
  <c r="S214" i="2"/>
  <c r="R214" i="2"/>
  <c r="Q214" i="2"/>
  <c r="P214" i="2"/>
  <c r="O214" i="2"/>
  <c r="U213" i="2"/>
  <c r="T213" i="2"/>
  <c r="S213" i="2"/>
  <c r="R213" i="2"/>
  <c r="Q213" i="2"/>
  <c r="P213" i="2"/>
  <c r="O213" i="2"/>
  <c r="U212" i="2"/>
  <c r="T212" i="2"/>
  <c r="S212" i="2"/>
  <c r="R212" i="2"/>
  <c r="Q212" i="2"/>
  <c r="P212" i="2"/>
  <c r="O212" i="2"/>
  <c r="U211" i="2"/>
  <c r="T211" i="2"/>
  <c r="S211" i="2"/>
  <c r="R211" i="2"/>
  <c r="Q211" i="2"/>
  <c r="P211" i="2"/>
  <c r="O211" i="2"/>
  <c r="U210" i="2"/>
  <c r="T210" i="2"/>
  <c r="S210" i="2"/>
  <c r="R210" i="2"/>
  <c r="Q210" i="2"/>
  <c r="P210" i="2"/>
  <c r="O210" i="2"/>
  <c r="U209" i="2"/>
  <c r="T209" i="2"/>
  <c r="S209" i="2"/>
  <c r="R209" i="2"/>
  <c r="Q209" i="2"/>
  <c r="P209" i="2"/>
  <c r="O209" i="2"/>
  <c r="U208" i="2"/>
  <c r="T208" i="2"/>
  <c r="S208" i="2"/>
  <c r="R208" i="2"/>
  <c r="Q208" i="2"/>
  <c r="P208" i="2"/>
  <c r="O208" i="2"/>
  <c r="U207" i="2"/>
  <c r="T207" i="2"/>
  <c r="S207" i="2"/>
  <c r="R207" i="2"/>
  <c r="Q207" i="2"/>
  <c r="P207" i="2"/>
  <c r="O207" i="2"/>
  <c r="U206" i="2"/>
  <c r="T206" i="2"/>
  <c r="S206" i="2"/>
  <c r="R206" i="2"/>
  <c r="Q206" i="2"/>
  <c r="P206" i="2"/>
  <c r="O206" i="2"/>
  <c r="U205" i="2"/>
  <c r="T205" i="2"/>
  <c r="S205" i="2"/>
  <c r="R205" i="2"/>
  <c r="Q205" i="2"/>
  <c r="P205" i="2"/>
  <c r="O205" i="2"/>
  <c r="U204" i="2"/>
  <c r="T204" i="2"/>
  <c r="S204" i="2"/>
  <c r="R204" i="2"/>
  <c r="Q204" i="2"/>
  <c r="P204" i="2"/>
  <c r="O204" i="2"/>
  <c r="U203" i="2"/>
  <c r="T203" i="2"/>
  <c r="S203" i="2"/>
  <c r="R203" i="2"/>
  <c r="Q203" i="2"/>
  <c r="P203" i="2"/>
  <c r="O203" i="2"/>
  <c r="U202" i="2"/>
  <c r="T202" i="2"/>
  <c r="S202" i="2"/>
  <c r="R202" i="2"/>
  <c r="Q202" i="2"/>
  <c r="P202" i="2"/>
  <c r="O202" i="2"/>
  <c r="U201" i="2"/>
  <c r="T201" i="2"/>
  <c r="S201" i="2"/>
  <c r="R201" i="2"/>
  <c r="Q201" i="2"/>
  <c r="P201" i="2"/>
  <c r="O201" i="2"/>
  <c r="U200" i="2"/>
  <c r="T200" i="2"/>
  <c r="S200" i="2"/>
  <c r="R200" i="2"/>
  <c r="Q200" i="2"/>
  <c r="P200" i="2"/>
  <c r="O200" i="2"/>
  <c r="U199" i="2"/>
  <c r="T199" i="2"/>
  <c r="S199" i="2"/>
  <c r="R199" i="2"/>
  <c r="Q199" i="2"/>
  <c r="P199" i="2"/>
  <c r="O199" i="2"/>
  <c r="U198" i="2"/>
  <c r="T198" i="2"/>
  <c r="S198" i="2"/>
  <c r="R198" i="2"/>
  <c r="Q198" i="2"/>
  <c r="P198" i="2"/>
  <c r="O198" i="2"/>
  <c r="U197" i="2"/>
  <c r="T197" i="2"/>
  <c r="S197" i="2"/>
  <c r="R197" i="2"/>
  <c r="Q197" i="2"/>
  <c r="P197" i="2"/>
  <c r="O197" i="2"/>
  <c r="U196" i="2"/>
  <c r="T196" i="2"/>
  <c r="S196" i="2"/>
  <c r="R196" i="2"/>
  <c r="Q196" i="2"/>
  <c r="P196" i="2"/>
  <c r="O196" i="2"/>
  <c r="U195" i="2"/>
  <c r="T195" i="2"/>
  <c r="S195" i="2"/>
  <c r="R195" i="2"/>
  <c r="Q195" i="2"/>
  <c r="P195" i="2"/>
  <c r="O195" i="2"/>
  <c r="U194" i="2"/>
  <c r="T194" i="2"/>
  <c r="S194" i="2"/>
  <c r="R194" i="2"/>
  <c r="Q194" i="2"/>
  <c r="P194" i="2"/>
  <c r="O194" i="2"/>
  <c r="U193" i="2"/>
  <c r="T193" i="2"/>
  <c r="S193" i="2"/>
  <c r="R193" i="2"/>
  <c r="Q193" i="2"/>
  <c r="P193" i="2"/>
  <c r="O193" i="2"/>
  <c r="U192" i="2"/>
  <c r="T192" i="2"/>
  <c r="S192" i="2"/>
  <c r="R192" i="2"/>
  <c r="Q192" i="2"/>
  <c r="P192" i="2"/>
  <c r="O192" i="2"/>
  <c r="U191" i="2"/>
  <c r="T191" i="2"/>
  <c r="S191" i="2"/>
  <c r="R191" i="2"/>
  <c r="Q191" i="2"/>
  <c r="P191" i="2"/>
  <c r="O191" i="2"/>
  <c r="U190" i="2"/>
  <c r="T190" i="2"/>
  <c r="S190" i="2"/>
  <c r="R190" i="2"/>
  <c r="Q190" i="2"/>
  <c r="P190" i="2"/>
  <c r="O190" i="2"/>
  <c r="U189" i="2"/>
  <c r="T189" i="2"/>
  <c r="S189" i="2"/>
  <c r="R189" i="2"/>
  <c r="Q189" i="2"/>
  <c r="P189" i="2"/>
  <c r="O189" i="2"/>
  <c r="T188" i="2"/>
  <c r="S188" i="2"/>
  <c r="R188" i="2"/>
  <c r="Q188" i="2"/>
  <c r="P188" i="2"/>
  <c r="O188" i="2"/>
  <c r="U187" i="2"/>
  <c r="T187" i="2"/>
  <c r="S187" i="2"/>
  <c r="R187" i="2"/>
  <c r="Q187" i="2"/>
  <c r="P187" i="2"/>
  <c r="O187" i="2"/>
  <c r="U186" i="2"/>
  <c r="T186" i="2"/>
  <c r="S186" i="2"/>
  <c r="R186" i="2"/>
  <c r="Q186" i="2"/>
  <c r="P186" i="2"/>
  <c r="O186" i="2"/>
  <c r="U185" i="2"/>
  <c r="T185" i="2"/>
  <c r="S185" i="2"/>
  <c r="R185" i="2"/>
  <c r="Q185" i="2"/>
  <c r="P185" i="2"/>
  <c r="O185" i="2"/>
  <c r="U184" i="2"/>
  <c r="T184" i="2"/>
  <c r="S184" i="2"/>
  <c r="R184" i="2"/>
  <c r="Q184" i="2"/>
  <c r="P184" i="2"/>
  <c r="O184" i="2"/>
  <c r="U183" i="2"/>
  <c r="T183" i="2"/>
  <c r="S183" i="2"/>
  <c r="R183" i="2"/>
  <c r="Q183" i="2"/>
  <c r="P183" i="2"/>
  <c r="O183" i="2"/>
  <c r="U182" i="2"/>
  <c r="T182" i="2"/>
  <c r="S182" i="2"/>
  <c r="R182" i="2"/>
  <c r="Q182" i="2"/>
  <c r="P182" i="2"/>
  <c r="O182" i="2"/>
  <c r="U181" i="2"/>
  <c r="T181" i="2"/>
  <c r="S181" i="2"/>
  <c r="R181" i="2"/>
  <c r="Q181" i="2"/>
  <c r="P181" i="2"/>
  <c r="O181" i="2"/>
  <c r="U180" i="2"/>
  <c r="T180" i="2"/>
  <c r="S180" i="2"/>
  <c r="R180" i="2"/>
  <c r="Q180" i="2"/>
  <c r="P180" i="2"/>
  <c r="O180" i="2"/>
  <c r="U179" i="2"/>
  <c r="T179" i="2"/>
  <c r="S179" i="2"/>
  <c r="R179" i="2"/>
  <c r="Q179" i="2"/>
  <c r="P179" i="2"/>
  <c r="O179" i="2"/>
  <c r="U178" i="2"/>
  <c r="T178" i="2"/>
  <c r="S178" i="2"/>
  <c r="R178" i="2"/>
  <c r="Q178" i="2"/>
  <c r="P178" i="2"/>
  <c r="O178" i="2"/>
  <c r="U177" i="2"/>
  <c r="T177" i="2"/>
  <c r="S177" i="2"/>
  <c r="R177" i="2"/>
  <c r="Q177" i="2"/>
  <c r="P177" i="2"/>
  <c r="O177" i="2"/>
  <c r="U176" i="2"/>
  <c r="T176" i="2"/>
  <c r="S176" i="2"/>
  <c r="R176" i="2"/>
  <c r="Q176" i="2"/>
  <c r="P176" i="2"/>
  <c r="O176" i="2"/>
  <c r="U175" i="2"/>
  <c r="T175" i="2"/>
  <c r="S175" i="2"/>
  <c r="R175" i="2"/>
  <c r="Q175" i="2"/>
  <c r="P175" i="2"/>
  <c r="O175" i="2"/>
  <c r="U174" i="2"/>
  <c r="T174" i="2"/>
  <c r="S174" i="2"/>
  <c r="R174" i="2"/>
  <c r="Q174" i="2"/>
  <c r="P174" i="2"/>
  <c r="O174" i="2"/>
  <c r="U173" i="2"/>
  <c r="T173" i="2"/>
  <c r="S173" i="2"/>
  <c r="R173" i="2"/>
  <c r="Q173" i="2"/>
  <c r="P173" i="2"/>
  <c r="O173" i="2"/>
  <c r="U172" i="2"/>
  <c r="T172" i="2"/>
  <c r="S172" i="2"/>
  <c r="R172" i="2"/>
  <c r="Q172" i="2"/>
  <c r="P172" i="2"/>
  <c r="O172" i="2"/>
  <c r="U171" i="2"/>
  <c r="T171" i="2"/>
  <c r="S171" i="2"/>
  <c r="R171" i="2"/>
  <c r="Q171" i="2"/>
  <c r="P171" i="2"/>
  <c r="O171" i="2"/>
  <c r="U170" i="2"/>
  <c r="T170" i="2"/>
  <c r="S170" i="2"/>
  <c r="R170" i="2"/>
  <c r="Q170" i="2"/>
  <c r="P170" i="2"/>
  <c r="O170" i="2"/>
  <c r="U169" i="2"/>
  <c r="T169" i="2"/>
  <c r="S169" i="2"/>
  <c r="R169" i="2"/>
  <c r="Q169" i="2"/>
  <c r="P169" i="2"/>
  <c r="O169" i="2"/>
  <c r="U168" i="2"/>
  <c r="T168" i="2"/>
  <c r="S168" i="2"/>
  <c r="R168" i="2"/>
  <c r="Q168" i="2"/>
  <c r="P168" i="2"/>
  <c r="O168" i="2"/>
  <c r="U167" i="2"/>
  <c r="T167" i="2"/>
  <c r="S167" i="2"/>
  <c r="R167" i="2"/>
  <c r="Q167" i="2"/>
  <c r="P167" i="2"/>
  <c r="O167" i="2"/>
  <c r="U166" i="2"/>
  <c r="T166" i="2"/>
  <c r="S166" i="2"/>
  <c r="R166" i="2"/>
  <c r="Q166" i="2"/>
  <c r="P166" i="2"/>
  <c r="O166" i="2"/>
  <c r="T165" i="2"/>
  <c r="S165" i="2"/>
  <c r="R165" i="2"/>
  <c r="Q165" i="2"/>
  <c r="P165" i="2"/>
  <c r="O165" i="2"/>
  <c r="U164" i="2"/>
  <c r="T164" i="2"/>
  <c r="S164" i="2"/>
  <c r="R164" i="2"/>
  <c r="Q164" i="2"/>
  <c r="P164" i="2"/>
  <c r="O164" i="2"/>
  <c r="U163" i="2"/>
  <c r="T163" i="2"/>
  <c r="S163" i="2"/>
  <c r="R163" i="2"/>
  <c r="Q163" i="2"/>
  <c r="P163" i="2"/>
  <c r="O163" i="2"/>
  <c r="U162" i="2"/>
  <c r="T162" i="2"/>
  <c r="S162" i="2"/>
  <c r="R162" i="2"/>
  <c r="Q162" i="2"/>
  <c r="P162" i="2"/>
  <c r="O162" i="2"/>
  <c r="U161" i="2"/>
  <c r="T161" i="2"/>
  <c r="S161" i="2"/>
  <c r="R161" i="2"/>
  <c r="Q161" i="2"/>
  <c r="P161" i="2"/>
  <c r="O161" i="2"/>
  <c r="T160" i="2"/>
  <c r="S160" i="2"/>
  <c r="R160" i="2"/>
  <c r="Q160" i="2"/>
  <c r="P160" i="2"/>
  <c r="O160" i="2"/>
  <c r="U159" i="2"/>
  <c r="T159" i="2"/>
  <c r="S159" i="2"/>
  <c r="R159" i="2"/>
  <c r="Q159" i="2"/>
  <c r="P159" i="2"/>
  <c r="O159" i="2"/>
  <c r="U158" i="2"/>
  <c r="T158" i="2"/>
  <c r="S158" i="2"/>
  <c r="R158" i="2"/>
  <c r="Q158" i="2"/>
  <c r="P158" i="2"/>
  <c r="O158" i="2"/>
  <c r="U157" i="2"/>
  <c r="T157" i="2"/>
  <c r="S157" i="2"/>
  <c r="R157" i="2"/>
  <c r="Q157" i="2"/>
  <c r="P157" i="2"/>
  <c r="O157" i="2"/>
  <c r="U156" i="2"/>
  <c r="T156" i="2"/>
  <c r="S156" i="2"/>
  <c r="R156" i="2"/>
  <c r="Q156" i="2"/>
  <c r="P156" i="2"/>
  <c r="O156" i="2"/>
  <c r="U155" i="2"/>
  <c r="T155" i="2"/>
  <c r="S155" i="2"/>
  <c r="R155" i="2"/>
  <c r="Q155" i="2"/>
  <c r="P155" i="2"/>
  <c r="O155" i="2"/>
  <c r="U154" i="2"/>
  <c r="T154" i="2"/>
  <c r="S154" i="2"/>
  <c r="R154" i="2"/>
  <c r="Q154" i="2"/>
  <c r="P154" i="2"/>
  <c r="O154" i="2"/>
  <c r="T153" i="2"/>
  <c r="S153" i="2"/>
  <c r="R153" i="2"/>
  <c r="Q153" i="2"/>
  <c r="P153" i="2"/>
  <c r="O153" i="2"/>
  <c r="U152" i="2"/>
  <c r="T152" i="2"/>
  <c r="S152" i="2"/>
  <c r="R152" i="2"/>
  <c r="Q152" i="2"/>
  <c r="P152" i="2"/>
  <c r="O152" i="2"/>
  <c r="U151" i="2"/>
  <c r="T151" i="2"/>
  <c r="S151" i="2"/>
  <c r="R151" i="2"/>
  <c r="Q151" i="2"/>
  <c r="P151" i="2"/>
  <c r="O151" i="2"/>
  <c r="U150" i="2"/>
  <c r="T150" i="2"/>
  <c r="S150" i="2"/>
  <c r="R150" i="2"/>
  <c r="Q150" i="2"/>
  <c r="P150" i="2"/>
  <c r="O150" i="2"/>
  <c r="U149" i="2"/>
  <c r="T149" i="2"/>
  <c r="S149" i="2"/>
  <c r="R149" i="2"/>
  <c r="Q149" i="2"/>
  <c r="P149" i="2"/>
  <c r="O149" i="2"/>
  <c r="U148" i="2"/>
  <c r="T148" i="2"/>
  <c r="S148" i="2"/>
  <c r="R148" i="2"/>
  <c r="Q148" i="2"/>
  <c r="P148" i="2"/>
  <c r="O148" i="2"/>
  <c r="U147" i="2"/>
  <c r="T147" i="2"/>
  <c r="S147" i="2"/>
  <c r="R147" i="2"/>
  <c r="Q147" i="2"/>
  <c r="P147" i="2"/>
  <c r="O147" i="2"/>
  <c r="U146" i="2"/>
  <c r="T146" i="2"/>
  <c r="S146" i="2"/>
  <c r="R146" i="2"/>
  <c r="Q146" i="2"/>
  <c r="P146" i="2"/>
  <c r="O146" i="2"/>
  <c r="U145" i="2"/>
  <c r="T145" i="2"/>
  <c r="S145" i="2"/>
  <c r="R145" i="2"/>
  <c r="Q145" i="2"/>
  <c r="P145" i="2"/>
  <c r="O145" i="2"/>
  <c r="U144" i="2"/>
  <c r="T144" i="2"/>
  <c r="S144" i="2"/>
  <c r="R144" i="2"/>
  <c r="Q144" i="2"/>
  <c r="P144" i="2"/>
  <c r="O144" i="2"/>
  <c r="U143" i="2"/>
  <c r="T143" i="2"/>
  <c r="S143" i="2"/>
  <c r="R143" i="2"/>
  <c r="Q143" i="2"/>
  <c r="P143" i="2"/>
  <c r="O143" i="2"/>
  <c r="U142" i="2"/>
  <c r="T142" i="2"/>
  <c r="S142" i="2"/>
  <c r="R142" i="2"/>
  <c r="Q142" i="2"/>
  <c r="P142" i="2"/>
  <c r="O142" i="2"/>
  <c r="U141" i="2"/>
  <c r="T141" i="2"/>
  <c r="S141" i="2"/>
  <c r="R141" i="2"/>
  <c r="Q141" i="2"/>
  <c r="P141" i="2"/>
  <c r="O141" i="2"/>
  <c r="U140" i="2"/>
  <c r="T140" i="2"/>
  <c r="S140" i="2"/>
  <c r="R140" i="2"/>
  <c r="Q140" i="2"/>
  <c r="P140" i="2"/>
  <c r="O140" i="2"/>
  <c r="U139" i="2"/>
  <c r="T139" i="2"/>
  <c r="S139" i="2"/>
  <c r="R139" i="2"/>
  <c r="Q139" i="2"/>
  <c r="P139" i="2"/>
  <c r="O139" i="2"/>
  <c r="U138" i="2"/>
  <c r="T138" i="2"/>
  <c r="S138" i="2"/>
  <c r="R138" i="2"/>
  <c r="Q138" i="2"/>
  <c r="P138" i="2"/>
  <c r="O138" i="2"/>
  <c r="U137" i="2"/>
  <c r="T137" i="2"/>
  <c r="S137" i="2"/>
  <c r="R137" i="2"/>
  <c r="Q137" i="2"/>
  <c r="P137" i="2"/>
  <c r="O137" i="2"/>
  <c r="T136" i="2"/>
  <c r="S136" i="2"/>
  <c r="R136" i="2"/>
  <c r="Q136" i="2"/>
  <c r="P136" i="2"/>
  <c r="O136" i="2"/>
  <c r="U135" i="2"/>
  <c r="T135" i="2"/>
  <c r="S135" i="2"/>
  <c r="R135" i="2"/>
  <c r="Q135" i="2"/>
  <c r="P135" i="2"/>
  <c r="O135" i="2"/>
  <c r="U134" i="2"/>
  <c r="T134" i="2"/>
  <c r="S134" i="2"/>
  <c r="R134" i="2"/>
  <c r="Q134" i="2"/>
  <c r="P134" i="2"/>
  <c r="O134" i="2"/>
  <c r="U133" i="2"/>
  <c r="T133" i="2"/>
  <c r="S133" i="2"/>
  <c r="R133" i="2"/>
  <c r="Q133" i="2"/>
  <c r="P133" i="2"/>
  <c r="O133" i="2"/>
  <c r="U132" i="2"/>
  <c r="T132" i="2"/>
  <c r="S132" i="2"/>
  <c r="R132" i="2"/>
  <c r="Q132" i="2"/>
  <c r="P132" i="2"/>
  <c r="O132" i="2"/>
  <c r="U131" i="2"/>
  <c r="T131" i="2"/>
  <c r="S131" i="2"/>
  <c r="R131" i="2"/>
  <c r="Q131" i="2"/>
  <c r="P131" i="2"/>
  <c r="O131" i="2"/>
  <c r="U130" i="2"/>
  <c r="T130" i="2"/>
  <c r="S130" i="2"/>
  <c r="R130" i="2"/>
  <c r="Q130" i="2"/>
  <c r="P130" i="2"/>
  <c r="O130" i="2"/>
  <c r="U129" i="2"/>
  <c r="T129" i="2"/>
  <c r="S129" i="2"/>
  <c r="R129" i="2"/>
  <c r="Q129" i="2"/>
  <c r="P129" i="2"/>
  <c r="O129" i="2"/>
  <c r="U128" i="2"/>
  <c r="T128" i="2"/>
  <c r="S128" i="2"/>
  <c r="R128" i="2"/>
  <c r="Q128" i="2"/>
  <c r="P128" i="2"/>
  <c r="O128" i="2"/>
  <c r="U127" i="2"/>
  <c r="T127" i="2"/>
  <c r="S127" i="2"/>
  <c r="R127" i="2"/>
  <c r="Q127" i="2"/>
  <c r="P127" i="2"/>
  <c r="O127" i="2"/>
  <c r="U126" i="2"/>
  <c r="T126" i="2"/>
  <c r="S126" i="2"/>
  <c r="R126" i="2"/>
  <c r="Q126" i="2"/>
  <c r="P126" i="2"/>
  <c r="O126" i="2"/>
  <c r="U125" i="2"/>
  <c r="T125" i="2"/>
  <c r="S125" i="2"/>
  <c r="R125" i="2"/>
  <c r="Q125" i="2"/>
  <c r="P125" i="2"/>
  <c r="O125" i="2"/>
  <c r="U124" i="2"/>
  <c r="T124" i="2"/>
  <c r="S124" i="2"/>
  <c r="R124" i="2"/>
  <c r="Q124" i="2"/>
  <c r="P124" i="2"/>
  <c r="O124" i="2"/>
  <c r="U123" i="2"/>
  <c r="T123" i="2"/>
  <c r="S123" i="2"/>
  <c r="R123" i="2"/>
  <c r="Q123" i="2"/>
  <c r="P123" i="2"/>
  <c r="O123" i="2"/>
  <c r="U122" i="2"/>
  <c r="T122" i="2"/>
  <c r="S122" i="2"/>
  <c r="R122" i="2"/>
  <c r="Q122" i="2"/>
  <c r="P122" i="2"/>
  <c r="O122" i="2"/>
  <c r="U121" i="2"/>
  <c r="T121" i="2"/>
  <c r="S121" i="2"/>
  <c r="R121" i="2"/>
  <c r="Q121" i="2"/>
  <c r="P121" i="2"/>
  <c r="O121" i="2"/>
  <c r="U120" i="2"/>
  <c r="T120" i="2"/>
  <c r="S120" i="2"/>
  <c r="R120" i="2"/>
  <c r="Q120" i="2"/>
  <c r="P120" i="2"/>
  <c r="O120" i="2"/>
  <c r="U119" i="2"/>
  <c r="T119" i="2"/>
  <c r="S119" i="2"/>
  <c r="R119" i="2"/>
  <c r="Q119" i="2"/>
  <c r="P119" i="2"/>
  <c r="O119" i="2"/>
  <c r="T118" i="2"/>
  <c r="S118" i="2"/>
  <c r="R118" i="2"/>
  <c r="Q118" i="2"/>
  <c r="P118" i="2"/>
  <c r="O118" i="2"/>
  <c r="U117" i="2"/>
  <c r="T117" i="2"/>
  <c r="S117" i="2"/>
  <c r="R117" i="2"/>
  <c r="Q117" i="2"/>
  <c r="P117" i="2"/>
  <c r="O117" i="2"/>
  <c r="U116" i="2"/>
  <c r="T116" i="2"/>
  <c r="S116" i="2"/>
  <c r="R116" i="2"/>
  <c r="Q116" i="2"/>
  <c r="P116" i="2"/>
  <c r="O116" i="2"/>
  <c r="U115" i="2"/>
  <c r="T115" i="2"/>
  <c r="S115" i="2"/>
  <c r="R115" i="2"/>
  <c r="Q115" i="2"/>
  <c r="P115" i="2"/>
  <c r="O115" i="2"/>
  <c r="U114" i="2"/>
  <c r="T114" i="2"/>
  <c r="S114" i="2"/>
  <c r="R114" i="2"/>
  <c r="Q114" i="2"/>
  <c r="P114" i="2"/>
  <c r="O114" i="2"/>
  <c r="U113" i="2"/>
  <c r="T113" i="2"/>
  <c r="S113" i="2"/>
  <c r="R113" i="2"/>
  <c r="Q113" i="2"/>
  <c r="P113" i="2"/>
  <c r="O113" i="2"/>
  <c r="U112" i="2"/>
  <c r="T112" i="2"/>
  <c r="S112" i="2"/>
  <c r="R112" i="2"/>
  <c r="Q112" i="2"/>
  <c r="P112" i="2"/>
  <c r="O112" i="2"/>
  <c r="U111" i="2"/>
  <c r="T111" i="2"/>
  <c r="S111" i="2"/>
  <c r="R111" i="2"/>
  <c r="Q111" i="2"/>
  <c r="P111" i="2"/>
  <c r="O111" i="2"/>
  <c r="U110" i="2"/>
  <c r="T110" i="2"/>
  <c r="S110" i="2"/>
  <c r="R110" i="2"/>
  <c r="Q110" i="2"/>
  <c r="P110" i="2"/>
  <c r="O110" i="2"/>
  <c r="U109" i="2"/>
  <c r="T109" i="2"/>
  <c r="S109" i="2"/>
  <c r="R109" i="2"/>
  <c r="Q109" i="2"/>
  <c r="P109" i="2"/>
  <c r="O109" i="2"/>
  <c r="U108" i="2"/>
  <c r="T108" i="2"/>
  <c r="S108" i="2"/>
  <c r="R108" i="2"/>
  <c r="Q108" i="2"/>
  <c r="P108" i="2"/>
  <c r="O108" i="2"/>
  <c r="U107" i="2"/>
  <c r="T107" i="2"/>
  <c r="S107" i="2"/>
  <c r="R107" i="2"/>
  <c r="Q107" i="2"/>
  <c r="P107" i="2"/>
  <c r="O107" i="2"/>
  <c r="U106" i="2"/>
  <c r="T106" i="2"/>
  <c r="S106" i="2"/>
  <c r="R106" i="2"/>
  <c r="Q106" i="2"/>
  <c r="P106" i="2"/>
  <c r="O106" i="2"/>
  <c r="U105" i="2"/>
  <c r="T105" i="2"/>
  <c r="S105" i="2"/>
  <c r="R105" i="2"/>
  <c r="Q105" i="2"/>
  <c r="P105" i="2"/>
  <c r="O105" i="2"/>
  <c r="U104" i="2"/>
  <c r="T104" i="2"/>
  <c r="S104" i="2"/>
  <c r="R104" i="2"/>
  <c r="Q104" i="2"/>
  <c r="P104" i="2"/>
  <c r="O104" i="2"/>
  <c r="U103" i="2"/>
  <c r="T103" i="2"/>
  <c r="S103" i="2"/>
  <c r="R103" i="2"/>
  <c r="Q103" i="2"/>
  <c r="P103" i="2"/>
  <c r="O103" i="2"/>
  <c r="T102" i="2"/>
  <c r="S102" i="2"/>
  <c r="R102" i="2"/>
  <c r="Q102" i="2"/>
  <c r="P102" i="2"/>
  <c r="O102" i="2"/>
  <c r="U101" i="2"/>
  <c r="T101" i="2"/>
  <c r="S101" i="2"/>
  <c r="R101" i="2"/>
  <c r="Q101" i="2"/>
  <c r="P101" i="2"/>
  <c r="O101" i="2"/>
  <c r="U100" i="2"/>
  <c r="T100" i="2"/>
  <c r="S100" i="2"/>
  <c r="R100" i="2"/>
  <c r="Q100" i="2"/>
  <c r="P100" i="2"/>
  <c r="O100" i="2"/>
  <c r="U99" i="2"/>
  <c r="T99" i="2"/>
  <c r="S99" i="2"/>
  <c r="R99" i="2"/>
  <c r="Q99" i="2"/>
  <c r="P99" i="2"/>
  <c r="O99" i="2"/>
  <c r="U98" i="2"/>
  <c r="T98" i="2"/>
  <c r="S98" i="2"/>
  <c r="R98" i="2"/>
  <c r="Q98" i="2"/>
  <c r="P98" i="2"/>
  <c r="O98" i="2"/>
  <c r="U97" i="2"/>
  <c r="T97" i="2"/>
  <c r="S97" i="2"/>
  <c r="R97" i="2"/>
  <c r="Q97" i="2"/>
  <c r="P97" i="2"/>
  <c r="O97" i="2"/>
  <c r="U96" i="2"/>
  <c r="T96" i="2"/>
  <c r="S96" i="2"/>
  <c r="R96" i="2"/>
  <c r="Q96" i="2"/>
  <c r="P96" i="2"/>
  <c r="O96" i="2"/>
  <c r="U95" i="2"/>
  <c r="T95" i="2"/>
  <c r="S95" i="2"/>
  <c r="R95" i="2"/>
  <c r="Q95" i="2"/>
  <c r="P95" i="2"/>
  <c r="O95" i="2"/>
  <c r="U94" i="2"/>
  <c r="T94" i="2"/>
  <c r="S94" i="2"/>
  <c r="R94" i="2"/>
  <c r="Q94" i="2"/>
  <c r="P94" i="2"/>
  <c r="O94" i="2"/>
  <c r="U93" i="2"/>
  <c r="T93" i="2"/>
  <c r="S93" i="2"/>
  <c r="R93" i="2"/>
  <c r="Q93" i="2"/>
  <c r="P93" i="2"/>
  <c r="O93" i="2"/>
  <c r="U92" i="2"/>
  <c r="T92" i="2"/>
  <c r="S92" i="2"/>
  <c r="R92" i="2"/>
  <c r="Q92" i="2"/>
  <c r="P92" i="2"/>
  <c r="O92" i="2"/>
  <c r="U91" i="2"/>
  <c r="T91" i="2"/>
  <c r="S91" i="2"/>
  <c r="R91" i="2"/>
  <c r="Q91" i="2"/>
  <c r="P91" i="2"/>
  <c r="O91" i="2"/>
  <c r="U90" i="2"/>
  <c r="T90" i="2"/>
  <c r="S90" i="2"/>
  <c r="R90" i="2"/>
  <c r="Q90" i="2"/>
  <c r="P90" i="2"/>
  <c r="O90" i="2"/>
  <c r="U89" i="2"/>
  <c r="T89" i="2"/>
  <c r="S89" i="2"/>
  <c r="R89" i="2"/>
  <c r="Q89" i="2"/>
  <c r="P89" i="2"/>
  <c r="O89" i="2"/>
  <c r="T88" i="2"/>
  <c r="S88" i="2"/>
  <c r="R88" i="2"/>
  <c r="Q88" i="2"/>
  <c r="P88" i="2"/>
  <c r="O88" i="2"/>
  <c r="U87" i="2"/>
  <c r="T87" i="2"/>
  <c r="S87" i="2"/>
  <c r="R87" i="2"/>
  <c r="Q87" i="2"/>
  <c r="P87" i="2"/>
  <c r="O87" i="2"/>
  <c r="U86" i="2"/>
  <c r="T86" i="2"/>
  <c r="S86" i="2"/>
  <c r="R86" i="2"/>
  <c r="Q86" i="2"/>
  <c r="P86" i="2"/>
  <c r="O86" i="2"/>
  <c r="U85" i="2"/>
  <c r="T85" i="2"/>
  <c r="S85" i="2"/>
  <c r="R85" i="2"/>
  <c r="Q85" i="2"/>
  <c r="P85" i="2"/>
  <c r="O85" i="2"/>
  <c r="U84" i="2"/>
  <c r="T84" i="2"/>
  <c r="S84" i="2"/>
  <c r="R84" i="2"/>
  <c r="Q84" i="2"/>
  <c r="P84" i="2"/>
  <c r="O84" i="2"/>
  <c r="T83" i="2"/>
  <c r="S83" i="2"/>
  <c r="R83" i="2"/>
  <c r="Q83" i="2"/>
  <c r="P83" i="2"/>
  <c r="O83" i="2"/>
  <c r="U82" i="2"/>
  <c r="T82" i="2"/>
  <c r="S82" i="2"/>
  <c r="R82" i="2"/>
  <c r="Q82" i="2"/>
  <c r="P82" i="2"/>
  <c r="O82" i="2"/>
  <c r="U81" i="2"/>
  <c r="T81" i="2"/>
  <c r="S81" i="2"/>
  <c r="R81" i="2"/>
  <c r="Q81" i="2"/>
  <c r="P81" i="2"/>
  <c r="O81" i="2"/>
  <c r="U80" i="2"/>
  <c r="T80" i="2"/>
  <c r="S80" i="2"/>
  <c r="R80" i="2"/>
  <c r="Q80" i="2"/>
  <c r="P80" i="2"/>
  <c r="O80" i="2"/>
  <c r="U79" i="2"/>
  <c r="T79" i="2"/>
  <c r="S79" i="2"/>
  <c r="R79" i="2"/>
  <c r="Q79" i="2"/>
  <c r="P79" i="2"/>
  <c r="O79" i="2"/>
  <c r="U78" i="2"/>
  <c r="T78" i="2"/>
  <c r="S78" i="2"/>
  <c r="R78" i="2"/>
  <c r="Q78" i="2"/>
  <c r="P78" i="2"/>
  <c r="O78" i="2"/>
  <c r="U77" i="2"/>
  <c r="T77" i="2"/>
  <c r="S77" i="2"/>
  <c r="R77" i="2"/>
  <c r="Q77" i="2"/>
  <c r="P77" i="2"/>
  <c r="O77" i="2"/>
  <c r="U76" i="2"/>
  <c r="T76" i="2"/>
  <c r="S76" i="2"/>
  <c r="R76" i="2"/>
  <c r="Q76" i="2"/>
  <c r="P76" i="2"/>
  <c r="O76" i="2"/>
  <c r="U75" i="2"/>
  <c r="T75" i="2"/>
  <c r="S75" i="2"/>
  <c r="R75" i="2"/>
  <c r="Q75" i="2"/>
  <c r="P75" i="2"/>
  <c r="O75" i="2"/>
  <c r="U74" i="2"/>
  <c r="T74" i="2"/>
  <c r="S74" i="2"/>
  <c r="R74" i="2"/>
  <c r="Q74" i="2"/>
  <c r="P74" i="2"/>
  <c r="O74" i="2"/>
  <c r="U73" i="2"/>
  <c r="T73" i="2"/>
  <c r="S73" i="2"/>
  <c r="R73" i="2"/>
  <c r="Q73" i="2"/>
  <c r="P73" i="2"/>
  <c r="O73" i="2"/>
  <c r="U72" i="2"/>
  <c r="T72" i="2"/>
  <c r="S72" i="2"/>
  <c r="R72" i="2"/>
  <c r="Q72" i="2"/>
  <c r="P72" i="2"/>
  <c r="O72" i="2"/>
  <c r="U71" i="2"/>
  <c r="T71" i="2"/>
  <c r="S71" i="2"/>
  <c r="R71" i="2"/>
  <c r="Q71" i="2"/>
  <c r="P71" i="2"/>
  <c r="O71" i="2"/>
  <c r="U70" i="2"/>
  <c r="T70" i="2"/>
  <c r="S70" i="2"/>
  <c r="R70" i="2"/>
  <c r="Q70" i="2"/>
  <c r="P70" i="2"/>
  <c r="O70" i="2"/>
  <c r="U69" i="2"/>
  <c r="T69" i="2"/>
  <c r="S69" i="2"/>
  <c r="R69" i="2"/>
  <c r="Q69" i="2"/>
  <c r="P69" i="2"/>
  <c r="O69" i="2"/>
  <c r="U68" i="2"/>
  <c r="T68" i="2"/>
  <c r="S68" i="2"/>
  <c r="R68" i="2"/>
  <c r="Q68" i="2"/>
  <c r="P68" i="2"/>
  <c r="O68" i="2"/>
  <c r="U67" i="2"/>
  <c r="T67" i="2"/>
  <c r="S67" i="2"/>
  <c r="R67" i="2"/>
  <c r="Q67" i="2"/>
  <c r="P67" i="2"/>
  <c r="O67" i="2"/>
  <c r="U66" i="2"/>
  <c r="T66" i="2"/>
  <c r="S66" i="2"/>
  <c r="R66" i="2"/>
  <c r="Q66" i="2"/>
  <c r="P66" i="2"/>
  <c r="O66" i="2"/>
  <c r="U65" i="2"/>
  <c r="T65" i="2"/>
  <c r="S65" i="2"/>
  <c r="R65" i="2"/>
  <c r="Q65" i="2"/>
  <c r="P65" i="2"/>
  <c r="O65" i="2"/>
  <c r="U64" i="2"/>
  <c r="T64" i="2"/>
  <c r="S64" i="2"/>
  <c r="R64" i="2"/>
  <c r="Q64" i="2"/>
  <c r="P64" i="2"/>
  <c r="O64" i="2"/>
  <c r="U63" i="2"/>
  <c r="T63" i="2"/>
  <c r="S63" i="2"/>
  <c r="R63" i="2"/>
  <c r="Q63" i="2"/>
  <c r="P63" i="2"/>
  <c r="O63" i="2"/>
  <c r="U62" i="2"/>
  <c r="T62" i="2"/>
  <c r="S62" i="2"/>
  <c r="R62" i="2"/>
  <c r="Q62" i="2"/>
  <c r="P62" i="2"/>
  <c r="O62" i="2"/>
  <c r="U61" i="2"/>
  <c r="T61" i="2"/>
  <c r="S61" i="2"/>
  <c r="R61" i="2"/>
  <c r="Q61" i="2"/>
  <c r="P61" i="2"/>
  <c r="O61" i="2"/>
  <c r="U60" i="2"/>
  <c r="T60" i="2"/>
  <c r="S60" i="2"/>
  <c r="R60" i="2"/>
  <c r="Q60" i="2"/>
  <c r="P60" i="2"/>
  <c r="O60" i="2"/>
  <c r="U59" i="2"/>
  <c r="T59" i="2"/>
  <c r="S59" i="2"/>
  <c r="R59" i="2"/>
  <c r="Q59" i="2"/>
  <c r="P59" i="2"/>
  <c r="O59" i="2"/>
  <c r="U58" i="2"/>
  <c r="T58" i="2"/>
  <c r="S58" i="2"/>
  <c r="R58" i="2"/>
  <c r="Q58" i="2"/>
  <c r="P58" i="2"/>
  <c r="O58" i="2"/>
  <c r="U57" i="2"/>
  <c r="T57" i="2"/>
  <c r="S57" i="2"/>
  <c r="R57" i="2"/>
  <c r="Q57" i="2"/>
  <c r="P57" i="2"/>
  <c r="O57" i="2"/>
  <c r="U56" i="2"/>
  <c r="T56" i="2"/>
  <c r="S56" i="2"/>
  <c r="R56" i="2"/>
  <c r="Q56" i="2"/>
  <c r="P56" i="2"/>
  <c r="O56" i="2"/>
  <c r="U55" i="2"/>
  <c r="T55" i="2"/>
  <c r="S55" i="2"/>
  <c r="R55" i="2"/>
  <c r="Q55" i="2"/>
  <c r="P55" i="2"/>
  <c r="O55" i="2"/>
  <c r="U54" i="2"/>
  <c r="T54" i="2"/>
  <c r="S54" i="2"/>
  <c r="R54" i="2"/>
  <c r="Q54" i="2"/>
  <c r="P54" i="2"/>
  <c r="O54" i="2"/>
  <c r="U53" i="2"/>
  <c r="T53" i="2"/>
  <c r="S53" i="2"/>
  <c r="R53" i="2"/>
  <c r="Q53" i="2"/>
  <c r="P53" i="2"/>
  <c r="O53" i="2"/>
  <c r="U52" i="2"/>
  <c r="T52" i="2"/>
  <c r="S52" i="2"/>
  <c r="R52" i="2"/>
  <c r="Q52" i="2"/>
  <c r="P52" i="2"/>
  <c r="O52" i="2"/>
  <c r="U51" i="2"/>
  <c r="T51" i="2"/>
  <c r="S51" i="2"/>
  <c r="R51" i="2"/>
  <c r="Q51" i="2"/>
  <c r="P51" i="2"/>
  <c r="O51" i="2"/>
  <c r="U50" i="2"/>
  <c r="T50" i="2"/>
  <c r="S50" i="2"/>
  <c r="R50" i="2"/>
  <c r="Q50" i="2"/>
  <c r="P50" i="2"/>
  <c r="O50" i="2"/>
  <c r="U49" i="2"/>
  <c r="T49" i="2"/>
  <c r="S49" i="2"/>
  <c r="R49" i="2"/>
  <c r="Q49" i="2"/>
  <c r="P49" i="2"/>
  <c r="O49" i="2"/>
  <c r="U48" i="2"/>
  <c r="T48" i="2"/>
  <c r="S48" i="2"/>
  <c r="R48" i="2"/>
  <c r="Q48" i="2"/>
  <c r="P48" i="2"/>
  <c r="O48" i="2"/>
  <c r="U47" i="2"/>
  <c r="T47" i="2"/>
  <c r="S47" i="2"/>
  <c r="R47" i="2"/>
  <c r="Q47" i="2"/>
  <c r="P47" i="2"/>
  <c r="O47" i="2"/>
  <c r="U46" i="2"/>
  <c r="T46" i="2"/>
  <c r="S46" i="2"/>
  <c r="R46" i="2"/>
  <c r="Q46" i="2"/>
  <c r="P46" i="2"/>
  <c r="O46" i="2"/>
  <c r="U45" i="2"/>
  <c r="T45" i="2"/>
  <c r="S45" i="2"/>
  <c r="R45" i="2"/>
  <c r="Q45" i="2"/>
  <c r="P45" i="2"/>
  <c r="O45" i="2"/>
  <c r="U44" i="2"/>
  <c r="T44" i="2"/>
  <c r="S44" i="2"/>
  <c r="R44" i="2"/>
  <c r="Q44" i="2"/>
  <c r="P44" i="2"/>
  <c r="O44" i="2"/>
  <c r="U43" i="2"/>
  <c r="T43" i="2"/>
  <c r="S43" i="2"/>
  <c r="R43" i="2"/>
  <c r="Q43" i="2"/>
  <c r="P43" i="2"/>
  <c r="O43" i="2"/>
  <c r="U42" i="2"/>
  <c r="T42" i="2"/>
  <c r="S42" i="2"/>
  <c r="R42" i="2"/>
  <c r="Q42" i="2"/>
  <c r="P42" i="2"/>
  <c r="O42" i="2"/>
  <c r="U41" i="2"/>
  <c r="T41" i="2"/>
  <c r="S41" i="2"/>
  <c r="R41" i="2"/>
  <c r="Q41" i="2"/>
  <c r="P41" i="2"/>
  <c r="O41" i="2"/>
  <c r="U40" i="2"/>
  <c r="T40" i="2"/>
  <c r="S40" i="2"/>
  <c r="R40" i="2"/>
  <c r="Q40" i="2"/>
  <c r="P40" i="2"/>
  <c r="O40" i="2"/>
  <c r="U39" i="2"/>
  <c r="T39" i="2"/>
  <c r="S39" i="2"/>
  <c r="R39" i="2"/>
  <c r="Q39" i="2"/>
  <c r="P39" i="2"/>
  <c r="O39" i="2"/>
  <c r="U38" i="2"/>
  <c r="T38" i="2"/>
  <c r="S38" i="2"/>
  <c r="R38" i="2"/>
  <c r="Q38" i="2"/>
  <c r="P38" i="2"/>
  <c r="O38" i="2"/>
  <c r="U37" i="2"/>
  <c r="T37" i="2"/>
  <c r="S37" i="2"/>
  <c r="R37" i="2"/>
  <c r="Q37" i="2"/>
  <c r="P37" i="2"/>
  <c r="O37" i="2"/>
  <c r="U36" i="2"/>
  <c r="T36" i="2"/>
  <c r="S36" i="2"/>
  <c r="R36" i="2"/>
  <c r="Q36" i="2"/>
  <c r="P36" i="2"/>
  <c r="O36" i="2"/>
  <c r="U35" i="2"/>
  <c r="T35" i="2"/>
  <c r="S35" i="2"/>
  <c r="R35" i="2"/>
  <c r="Q35" i="2"/>
  <c r="P35" i="2"/>
  <c r="O35" i="2"/>
  <c r="U34" i="2"/>
  <c r="T34" i="2"/>
  <c r="S34" i="2"/>
  <c r="R34" i="2"/>
  <c r="Q34" i="2"/>
  <c r="P34" i="2"/>
  <c r="O34" i="2"/>
  <c r="U33" i="2"/>
  <c r="T33" i="2"/>
  <c r="S33" i="2"/>
  <c r="R33" i="2"/>
  <c r="Q33" i="2"/>
  <c r="P33" i="2"/>
  <c r="O33" i="2"/>
  <c r="U32" i="2"/>
  <c r="T32" i="2"/>
  <c r="S32" i="2"/>
  <c r="R32" i="2"/>
  <c r="Q32" i="2"/>
  <c r="P32" i="2"/>
  <c r="O32" i="2"/>
  <c r="U31" i="2"/>
  <c r="T31" i="2"/>
  <c r="S31" i="2"/>
  <c r="R31" i="2"/>
  <c r="Q31" i="2"/>
  <c r="P31" i="2"/>
  <c r="O31" i="2"/>
  <c r="U30" i="2"/>
  <c r="T30" i="2"/>
  <c r="S30" i="2"/>
  <c r="R30" i="2"/>
  <c r="Q30" i="2"/>
  <c r="P30" i="2"/>
  <c r="O30" i="2"/>
  <c r="U29" i="2"/>
  <c r="T29" i="2"/>
  <c r="S29" i="2"/>
  <c r="R29" i="2"/>
  <c r="Q29" i="2"/>
  <c r="P29" i="2"/>
  <c r="O29" i="2"/>
  <c r="U28" i="2"/>
  <c r="T28" i="2"/>
  <c r="S28" i="2"/>
  <c r="R28" i="2"/>
  <c r="Q28" i="2"/>
  <c r="P28" i="2"/>
  <c r="O28" i="2"/>
  <c r="U27" i="2"/>
  <c r="T27" i="2"/>
  <c r="S27" i="2"/>
  <c r="R27" i="2"/>
  <c r="Q27" i="2"/>
  <c r="P27" i="2"/>
  <c r="O27" i="2"/>
  <c r="U26" i="2"/>
  <c r="T26" i="2"/>
  <c r="S26" i="2"/>
  <c r="R26" i="2"/>
  <c r="Q26" i="2"/>
  <c r="P26" i="2"/>
  <c r="O26" i="2"/>
  <c r="U25" i="2"/>
  <c r="T25" i="2"/>
  <c r="S25" i="2"/>
  <c r="R25" i="2"/>
  <c r="Q25" i="2"/>
  <c r="P25" i="2"/>
  <c r="O25" i="2"/>
  <c r="U24" i="2"/>
  <c r="T24" i="2"/>
  <c r="S24" i="2"/>
  <c r="R24" i="2"/>
  <c r="Q24" i="2"/>
  <c r="P24" i="2"/>
  <c r="O24" i="2"/>
  <c r="U23" i="2"/>
  <c r="T23" i="2"/>
  <c r="S23" i="2"/>
  <c r="R23" i="2"/>
  <c r="Q23" i="2"/>
  <c r="P23" i="2"/>
  <c r="O23" i="2"/>
  <c r="U22" i="2"/>
  <c r="T22" i="2"/>
  <c r="S22" i="2"/>
  <c r="R22" i="2"/>
  <c r="Q22" i="2"/>
  <c r="P22" i="2"/>
  <c r="O22" i="2"/>
  <c r="U21" i="2"/>
  <c r="T21" i="2"/>
  <c r="S21" i="2"/>
  <c r="R21" i="2"/>
  <c r="Q21" i="2"/>
  <c r="P21" i="2"/>
  <c r="O21" i="2"/>
  <c r="T20" i="2"/>
  <c r="S20" i="2"/>
  <c r="R20" i="2"/>
  <c r="Q20" i="2"/>
  <c r="P20" i="2"/>
  <c r="O20" i="2"/>
  <c r="U19" i="2"/>
  <c r="T19" i="2"/>
  <c r="S19" i="2"/>
  <c r="R19" i="2"/>
  <c r="Q19" i="2"/>
  <c r="P19" i="2"/>
  <c r="O19" i="2"/>
  <c r="U18" i="2"/>
  <c r="T18" i="2"/>
  <c r="S18" i="2"/>
  <c r="R18" i="2"/>
  <c r="Q18" i="2"/>
  <c r="P18" i="2"/>
  <c r="O18" i="2"/>
  <c r="U17" i="2"/>
  <c r="T17" i="2"/>
  <c r="S17" i="2"/>
  <c r="R17" i="2"/>
  <c r="Q17" i="2"/>
  <c r="P17" i="2"/>
  <c r="O17" i="2"/>
  <c r="U16" i="2"/>
  <c r="T16" i="2"/>
  <c r="S16" i="2"/>
  <c r="R16" i="2"/>
  <c r="Q16" i="2"/>
  <c r="P16" i="2"/>
  <c r="O16" i="2"/>
  <c r="U15" i="2"/>
  <c r="T15" i="2"/>
  <c r="S15" i="2"/>
  <c r="R15" i="2"/>
  <c r="Q15" i="2"/>
  <c r="P15" i="2"/>
  <c r="O15" i="2"/>
  <c r="U14" i="2"/>
  <c r="T14" i="2"/>
  <c r="S14" i="2"/>
  <c r="R14" i="2"/>
  <c r="Q14" i="2"/>
  <c r="P14" i="2"/>
  <c r="O14" i="2"/>
  <c r="U13" i="2"/>
  <c r="T13" i="2"/>
  <c r="S13" i="2"/>
  <c r="R13" i="2"/>
  <c r="Q13" i="2"/>
  <c r="P13" i="2"/>
  <c r="O13" i="2"/>
  <c r="U12" i="2"/>
  <c r="T12" i="2"/>
  <c r="S12" i="2"/>
  <c r="R12" i="2"/>
  <c r="Q12" i="2"/>
  <c r="P12" i="2"/>
  <c r="O12" i="2"/>
  <c r="U11" i="2"/>
  <c r="T11" i="2"/>
  <c r="S11" i="2"/>
  <c r="R11" i="2"/>
  <c r="Q11" i="2"/>
  <c r="P11" i="2"/>
  <c r="O11" i="2"/>
  <c r="U10" i="2"/>
  <c r="T10" i="2"/>
  <c r="S10" i="2"/>
  <c r="R10" i="2"/>
  <c r="Q10" i="2"/>
  <c r="P10" i="2"/>
  <c r="O10" i="2"/>
  <c r="U9" i="2"/>
  <c r="T9" i="2"/>
  <c r="S9" i="2"/>
  <c r="R9" i="2"/>
  <c r="Q9" i="2"/>
  <c r="P9" i="2"/>
  <c r="O9" i="2"/>
  <c r="U8" i="2"/>
  <c r="T8" i="2"/>
  <c r="S8" i="2"/>
  <c r="R8" i="2"/>
  <c r="Q8" i="2"/>
  <c r="P8" i="2"/>
  <c r="O8" i="2"/>
  <c r="U7" i="2"/>
  <c r="T7" i="2"/>
  <c r="S7" i="2"/>
  <c r="R7" i="2"/>
  <c r="Q7" i="2"/>
  <c r="P7" i="2"/>
  <c r="O7" i="2"/>
  <c r="U6" i="2"/>
  <c r="T6" i="2"/>
  <c r="S6" i="2"/>
  <c r="R6" i="2"/>
  <c r="Q6" i="2"/>
  <c r="P6" i="2"/>
  <c r="O6" i="2"/>
  <c r="U5" i="2"/>
  <c r="T5" i="2"/>
  <c r="S5" i="2"/>
  <c r="R5" i="2"/>
  <c r="Q5" i="2"/>
  <c r="P5" i="2"/>
  <c r="O5" i="2"/>
  <c r="U4" i="2"/>
  <c r="T4" i="2"/>
  <c r="S4" i="2"/>
  <c r="R4" i="2"/>
  <c r="Q4" i="2"/>
  <c r="P4" i="2"/>
  <c r="O4" i="2"/>
  <c r="U3" i="2"/>
  <c r="T3" i="2"/>
  <c r="S3" i="2"/>
  <c r="R3" i="2"/>
  <c r="Q3" i="2"/>
  <c r="P3" i="2"/>
  <c r="O3" i="2"/>
  <c r="U2" i="2"/>
  <c r="T2" i="2"/>
  <c r="B79" i="3" s="1"/>
  <c r="S2" i="2"/>
  <c r="R2" i="2"/>
  <c r="Q2" i="2"/>
  <c r="P2" i="2"/>
  <c r="O2" i="2"/>
  <c r="B15" i="5" l="1"/>
  <c r="F71" i="3"/>
  <c r="E69" i="3"/>
  <c r="B25" i="10"/>
  <c r="B4" i="10"/>
  <c r="B30" i="10"/>
  <c r="A5" i="9"/>
  <c r="B26" i="10"/>
  <c r="F14" i="3"/>
  <c r="B20" i="10"/>
  <c r="B19" i="9"/>
  <c r="F16" i="3"/>
  <c r="H36" i="3"/>
  <c r="F39" i="3"/>
  <c r="B64" i="3"/>
  <c r="F60" i="3"/>
  <c r="C76" i="3"/>
  <c r="B27" i="10" s="1"/>
  <c r="A108" i="4"/>
  <c r="A79" i="4"/>
  <c r="A96" i="4"/>
  <c r="A81" i="4"/>
  <c r="A102" i="4"/>
  <c r="A78" i="4"/>
  <c r="I13" i="4"/>
  <c r="H13" i="4"/>
  <c r="M16" i="4"/>
  <c r="I18" i="4"/>
  <c r="M21" i="4"/>
  <c r="I23" i="4"/>
  <c r="M26" i="4"/>
  <c r="N30" i="4"/>
  <c r="M43" i="4"/>
  <c r="A122" i="4" s="1"/>
  <c r="C122" i="4" s="1"/>
  <c r="N49" i="4"/>
  <c r="M51" i="4"/>
  <c r="M52" i="4"/>
  <c r="M54" i="4"/>
  <c r="M55" i="4"/>
  <c r="B21" i="6"/>
  <c r="B19" i="6"/>
  <c r="H35" i="3"/>
  <c r="N17" i="4"/>
  <c r="N21" i="4"/>
  <c r="I39" i="4"/>
  <c r="M45" i="4"/>
  <c r="I47" i="4"/>
  <c r="B19" i="10"/>
  <c r="B18" i="9"/>
  <c r="F22" i="3"/>
  <c r="I29" i="3"/>
  <c r="I37" i="3"/>
  <c r="D64" i="3"/>
  <c r="M13" i="4"/>
  <c r="I15" i="4"/>
  <c r="M18" i="4"/>
  <c r="H19" i="4"/>
  <c r="N22" i="4"/>
  <c r="N26" i="4"/>
  <c r="M31" i="4"/>
  <c r="M35" i="4"/>
  <c r="N36" i="4"/>
  <c r="N37" i="4"/>
  <c r="M38" i="4"/>
  <c r="I41" i="4"/>
  <c r="H41" i="4"/>
  <c r="I42" i="4"/>
  <c r="N51" i="4"/>
  <c r="C27" i="5"/>
  <c r="D14" i="7"/>
  <c r="C16" i="7"/>
  <c r="B27" i="5"/>
  <c r="A27" i="5"/>
  <c r="G27" i="5"/>
  <c r="F27" i="5"/>
  <c r="E27" i="5"/>
  <c r="B5" i="10"/>
  <c r="C5" i="9"/>
  <c r="G39" i="3"/>
  <c r="I33" i="4"/>
  <c r="N35" i="4"/>
  <c r="M44" i="4"/>
  <c r="B7" i="3"/>
  <c r="E16" i="3"/>
  <c r="E24" i="3"/>
  <c r="I36" i="3"/>
  <c r="B43" i="3"/>
  <c r="M10" i="4"/>
  <c r="A106" i="4" s="1"/>
  <c r="N13" i="4"/>
  <c r="M14" i="4"/>
  <c r="A83" i="4" s="1"/>
  <c r="I19" i="4"/>
  <c r="I25" i="4"/>
  <c r="H28" i="4"/>
  <c r="I30" i="4"/>
  <c r="H30" i="4"/>
  <c r="N32" i="4"/>
  <c r="M33" i="4"/>
  <c r="N38" i="4"/>
  <c r="M41" i="4"/>
  <c r="M46" i="4"/>
  <c r="D27" i="5"/>
  <c r="G16" i="3"/>
  <c r="D19" i="9" s="1"/>
  <c r="C75" i="3"/>
  <c r="I35" i="3"/>
  <c r="C43" i="3"/>
  <c r="E62" i="3"/>
  <c r="I11" i="4"/>
  <c r="N14" i="4"/>
  <c r="M23" i="4"/>
  <c r="H25" i="4"/>
  <c r="M27" i="4"/>
  <c r="I28" i="4"/>
  <c r="I29" i="4"/>
  <c r="H29" i="4"/>
  <c r="I34" i="4"/>
  <c r="M39" i="4"/>
  <c r="M42" i="4"/>
  <c r="H43" i="4"/>
  <c r="I49" i="4"/>
  <c r="A87" i="4"/>
  <c r="N24" i="4"/>
  <c r="M25" i="4"/>
  <c r="N33" i="4"/>
  <c r="N40" i="4"/>
  <c r="F25" i="3"/>
  <c r="I16" i="4"/>
  <c r="I8" i="4"/>
  <c r="B5" i="4"/>
  <c r="J20" i="4" s="1"/>
  <c r="I9" i="4"/>
  <c r="I22" i="4"/>
  <c r="H22" i="4"/>
  <c r="U20" i="2"/>
  <c r="B16" i="9"/>
  <c r="B17" i="10"/>
  <c r="B18" i="3"/>
  <c r="F15" i="3"/>
  <c r="E23" i="3"/>
  <c r="H30" i="3"/>
  <c r="I33" i="3"/>
  <c r="H38" i="3"/>
  <c r="A44" i="3"/>
  <c r="E68" i="3"/>
  <c r="B75" i="3"/>
  <c r="M53" i="4"/>
  <c r="M36" i="4"/>
  <c r="M28" i="4"/>
  <c r="M20" i="4"/>
  <c r="H9" i="4"/>
  <c r="H12" i="4"/>
  <c r="M15" i="4"/>
  <c r="M19" i="4"/>
  <c r="I20" i="4"/>
  <c r="I21" i="4"/>
  <c r="H21" i="4"/>
  <c r="M24" i="4"/>
  <c r="I26" i="4"/>
  <c r="N28" i="4"/>
  <c r="M29" i="4"/>
  <c r="I31" i="4"/>
  <c r="M34" i="4"/>
  <c r="H35" i="4"/>
  <c r="I38" i="4"/>
  <c r="I44" i="4"/>
  <c r="M48" i="4"/>
  <c r="I50" i="4"/>
  <c r="I52" i="4"/>
  <c r="H52" i="4"/>
  <c r="H53" i="4"/>
  <c r="I53" i="4"/>
  <c r="I55" i="4"/>
  <c r="A119" i="4"/>
  <c r="B16" i="5"/>
  <c r="B13" i="5"/>
  <c r="B21" i="10"/>
  <c r="B20" i="9"/>
  <c r="H31" i="3"/>
  <c r="I17" i="4"/>
  <c r="C78" i="3"/>
  <c r="B78" i="3"/>
  <c r="B31" i="10" s="1"/>
  <c r="B80" i="3"/>
  <c r="U83" i="2"/>
  <c r="G15" i="3"/>
  <c r="D18" i="9" s="1"/>
  <c r="E22" i="3"/>
  <c r="H29" i="3"/>
  <c r="I32" i="3"/>
  <c r="E70" i="3"/>
  <c r="N48" i="4"/>
  <c r="N46" i="4"/>
  <c r="N44" i="4"/>
  <c r="N39" i="4"/>
  <c r="N31" i="4"/>
  <c r="N23" i="4"/>
  <c r="N15" i="4"/>
  <c r="N8" i="4"/>
  <c r="I12" i="4"/>
  <c r="I14" i="4"/>
  <c r="H14" i="4"/>
  <c r="N16" i="4"/>
  <c r="M17" i="4"/>
  <c r="N29" i="4"/>
  <c r="M30" i="4"/>
  <c r="I35" i="4"/>
  <c r="I36" i="4"/>
  <c r="I37" i="4"/>
  <c r="H37" i="4"/>
  <c r="N43" i="4"/>
  <c r="I46" i="4"/>
  <c r="M49" i="4"/>
  <c r="M56" i="4"/>
  <c r="B10" i="5"/>
  <c r="E18" i="6"/>
  <c r="I56" i="4"/>
  <c r="H38" i="4"/>
  <c r="H51" i="4"/>
  <c r="I54" i="4"/>
  <c r="N55" i="4"/>
  <c r="B30" i="6"/>
  <c r="B18" i="10"/>
  <c r="B17" i="9"/>
  <c r="I48" i="4"/>
  <c r="H11" i="4"/>
  <c r="H49" i="4"/>
  <c r="I51" i="4"/>
  <c r="H54" i="4"/>
  <c r="N53" i="4"/>
  <c r="C20" i="6"/>
  <c r="B32" i="10"/>
  <c r="B6" i="7"/>
  <c r="I24" i="4"/>
  <c r="I32" i="4"/>
  <c r="I40" i="4"/>
  <c r="I45" i="4"/>
  <c r="B8" i="7"/>
  <c r="I57" i="4"/>
  <c r="B24" i="10"/>
  <c r="B11" i="5"/>
  <c r="B9" i="5"/>
  <c r="C18" i="6"/>
  <c r="F20" i="7"/>
  <c r="D22" i="7"/>
  <c r="E22" i="7" s="1"/>
  <c r="D18" i="6"/>
  <c r="D21" i="7"/>
  <c r="E21" i="7" s="1"/>
  <c r="F22" i="7"/>
  <c r="D20" i="7"/>
  <c r="E20" i="7" s="1"/>
  <c r="F21" i="7"/>
  <c r="J49" i="4" l="1"/>
  <c r="E71" i="3"/>
  <c r="J9" i="4"/>
  <c r="G28" i="5"/>
  <c r="F28" i="5"/>
  <c r="J25" i="4"/>
  <c r="A95" i="4"/>
  <c r="A117" i="4"/>
  <c r="A125" i="4"/>
  <c r="C125" i="4" s="1"/>
  <c r="A100" i="4"/>
  <c r="A114" i="4"/>
  <c r="J52" i="4"/>
  <c r="C20" i="10"/>
  <c r="C19" i="9"/>
  <c r="J33" i="4"/>
  <c r="B28" i="5"/>
  <c r="D28" i="5"/>
  <c r="C28" i="5"/>
  <c r="A94" i="4"/>
  <c r="A120" i="4"/>
  <c r="A103" i="4"/>
  <c r="A86" i="4"/>
  <c r="A116" i="4"/>
  <c r="E19" i="6"/>
  <c r="E21" i="6"/>
  <c r="J22" i="4"/>
  <c r="G5" i="9"/>
  <c r="B6" i="10"/>
  <c r="E28" i="5"/>
  <c r="A126" i="4"/>
  <c r="C126" i="4" s="1"/>
  <c r="A80" i="4"/>
  <c r="A91" i="4"/>
  <c r="A127" i="4"/>
  <c r="C127" i="4" s="1"/>
  <c r="A110" i="4"/>
  <c r="A104" i="4"/>
  <c r="A124" i="4"/>
  <c r="C124" i="4" s="1"/>
  <c r="A97" i="4"/>
  <c r="J57" i="4"/>
  <c r="J36" i="4"/>
  <c r="A105" i="4"/>
  <c r="A82" i="4"/>
  <c r="E61" i="3"/>
  <c r="F64" i="3"/>
  <c r="E63" i="3"/>
  <c r="D19" i="6"/>
  <c r="D21" i="6"/>
  <c r="B44" i="3"/>
  <c r="E44" i="3" s="1"/>
  <c r="A45" i="3"/>
  <c r="F44" i="3"/>
  <c r="D44" i="3"/>
  <c r="C44" i="3"/>
  <c r="J41" i="4"/>
  <c r="C71" i="4"/>
  <c r="F71" i="4" s="1"/>
  <c r="E69" i="4"/>
  <c r="B68" i="4"/>
  <c r="D72" i="4"/>
  <c r="C69" i="4"/>
  <c r="F69" i="4" s="1"/>
  <c r="E65" i="4"/>
  <c r="J11" i="9" s="1"/>
  <c r="E64" i="4"/>
  <c r="J10" i="9" s="1"/>
  <c r="B72" i="4"/>
  <c r="B70" i="4"/>
  <c r="C66" i="4"/>
  <c r="D67" i="4"/>
  <c r="B66" i="4"/>
  <c r="D63" i="4"/>
  <c r="D69" i="4"/>
  <c r="C67" i="4"/>
  <c r="C63" i="4"/>
  <c r="D71" i="4"/>
  <c r="B69" i="4"/>
  <c r="B67" i="4"/>
  <c r="D64" i="4"/>
  <c r="B63" i="4"/>
  <c r="B71" i="4"/>
  <c r="C64" i="4"/>
  <c r="D65" i="4"/>
  <c r="B64" i="4"/>
  <c r="D66" i="4"/>
  <c r="E72" i="4"/>
  <c r="C65" i="4"/>
  <c r="C72" i="4"/>
  <c r="F72" i="4" s="1"/>
  <c r="B65" i="4"/>
  <c r="D70" i="4"/>
  <c r="C70" i="4"/>
  <c r="F70" i="4" s="1"/>
  <c r="C68" i="4"/>
  <c r="F68" i="4" s="1"/>
  <c r="D68" i="4"/>
  <c r="J46" i="4"/>
  <c r="E71" i="4" s="1"/>
  <c r="B127" i="4"/>
  <c r="B119" i="4"/>
  <c r="B111" i="4"/>
  <c r="B103" i="4"/>
  <c r="B95" i="4"/>
  <c r="B87" i="4"/>
  <c r="B79" i="4"/>
  <c r="C79" i="4" s="1"/>
  <c r="B121" i="4"/>
  <c r="B113" i="4"/>
  <c r="B105" i="4"/>
  <c r="B97" i="4"/>
  <c r="B89" i="4"/>
  <c r="B81" i="4"/>
  <c r="B125" i="4"/>
  <c r="B107" i="4"/>
  <c r="B100" i="4"/>
  <c r="B93" i="4"/>
  <c r="B114" i="4"/>
  <c r="B110" i="4"/>
  <c r="B96" i="4"/>
  <c r="B82" i="4"/>
  <c r="B124" i="4"/>
  <c r="B117" i="4"/>
  <c r="B99" i="4"/>
  <c r="B92" i="4"/>
  <c r="B85" i="4"/>
  <c r="B120" i="4"/>
  <c r="B106" i="4"/>
  <c r="B102" i="4"/>
  <c r="B88" i="4"/>
  <c r="B123" i="4"/>
  <c r="B116" i="4"/>
  <c r="B109" i="4"/>
  <c r="B91" i="4"/>
  <c r="B84" i="4"/>
  <c r="B78" i="4"/>
  <c r="C119" i="4" s="1"/>
  <c r="B126" i="4"/>
  <c r="B112" i="4"/>
  <c r="B98" i="4"/>
  <c r="B94" i="4"/>
  <c r="B80" i="4"/>
  <c r="B122" i="4"/>
  <c r="B118" i="4"/>
  <c r="B104" i="4"/>
  <c r="B90" i="4"/>
  <c r="B115" i="4"/>
  <c r="B101" i="4"/>
  <c r="B86" i="4"/>
  <c r="B83" i="4"/>
  <c r="B108" i="4"/>
  <c r="J11" i="4"/>
  <c r="A28" i="5"/>
  <c r="A112" i="4"/>
  <c r="C81" i="4"/>
  <c r="A89" i="4"/>
  <c r="A111" i="4"/>
  <c r="A115" i="4"/>
  <c r="A109" i="4"/>
  <c r="A85" i="4"/>
  <c r="A93" i="4"/>
  <c r="A118" i="4"/>
  <c r="C118" i="4" s="1"/>
  <c r="A90" i="4"/>
  <c r="J21" i="4"/>
  <c r="C86" i="3"/>
  <c r="C88" i="3"/>
  <c r="D85" i="3"/>
  <c r="B88" i="3"/>
  <c r="C85" i="3"/>
  <c r="B85" i="3"/>
  <c r="D88" i="3"/>
  <c r="C84" i="3"/>
  <c r="D84" i="3"/>
  <c r="D87" i="3"/>
  <c r="B84" i="3"/>
  <c r="C87" i="3"/>
  <c r="D86" i="3"/>
  <c r="B87" i="3"/>
  <c r="B86" i="3"/>
  <c r="J12" i="4"/>
  <c r="A101" i="4"/>
  <c r="E60" i="3"/>
  <c r="U88" i="2"/>
  <c r="A123" i="4"/>
  <c r="C123" i="4" s="1"/>
  <c r="A99" i="4"/>
  <c r="A107" i="4"/>
  <c r="A84" i="4"/>
  <c r="A98" i="4"/>
  <c r="J45" i="4"/>
  <c r="J40" i="4"/>
  <c r="J32" i="4"/>
  <c r="E63" i="4" s="1"/>
  <c r="J9" i="9" s="1"/>
  <c r="J24" i="4"/>
  <c r="J16" i="4"/>
  <c r="J47" i="4"/>
  <c r="J43" i="4"/>
  <c r="J35" i="4"/>
  <c r="J27" i="4"/>
  <c r="J19" i="4"/>
  <c r="E66" i="4" s="1"/>
  <c r="J12" i="9" s="1"/>
  <c r="J54" i="4"/>
  <c r="J56" i="4"/>
  <c r="J50" i="4"/>
  <c r="J48" i="4"/>
  <c r="J44" i="4"/>
  <c r="J39" i="4"/>
  <c r="J55" i="4"/>
  <c r="J38" i="4"/>
  <c r="J31" i="4"/>
  <c r="E68" i="4" s="1"/>
  <c r="J26" i="4"/>
  <c r="E70" i="4" s="1"/>
  <c r="J8" i="4"/>
  <c r="J34" i="4"/>
  <c r="J29" i="4"/>
  <c r="J42" i="4"/>
  <c r="J15" i="4"/>
  <c r="J10" i="4"/>
  <c r="J23" i="4"/>
  <c r="J18" i="4"/>
  <c r="J13" i="4"/>
  <c r="J37" i="4"/>
  <c r="J14" i="4"/>
  <c r="C21" i="6"/>
  <c r="B33" i="10" s="1"/>
  <c r="C19" i="6"/>
  <c r="J53" i="4"/>
  <c r="J51" i="4"/>
  <c r="E25" i="3"/>
  <c r="J17" i="4"/>
  <c r="E14" i="3"/>
  <c r="F18" i="3"/>
  <c r="E15" i="3"/>
  <c r="E13" i="3"/>
  <c r="J30" i="4"/>
  <c r="E67" i="4" s="1"/>
  <c r="J13" i="9" s="1"/>
  <c r="J28" i="4"/>
  <c r="A88" i="4"/>
  <c r="A113" i="4"/>
  <c r="A121" i="4"/>
  <c r="A92" i="4"/>
  <c r="E17" i="3"/>
  <c r="C18" i="10" l="1"/>
  <c r="C17" i="9"/>
  <c r="H16" i="9"/>
  <c r="E9" i="10"/>
  <c r="F13" i="10"/>
  <c r="I20" i="9"/>
  <c r="H12" i="9"/>
  <c r="A12" i="10"/>
  <c r="C116" i="4"/>
  <c r="G9" i="10"/>
  <c r="J16" i="9"/>
  <c r="I18" i="9"/>
  <c r="F11" i="10"/>
  <c r="C109" i="4"/>
  <c r="C110" i="4"/>
  <c r="F29" i="5"/>
  <c r="C86" i="4"/>
  <c r="A29" i="5"/>
  <c r="E13" i="10"/>
  <c r="H20" i="9"/>
  <c r="H9" i="9"/>
  <c r="A9" i="10"/>
  <c r="C97" i="4"/>
  <c r="G10" i="10"/>
  <c r="J17" i="9"/>
  <c r="C112" i="4"/>
  <c r="C102" i="4"/>
  <c r="C121" i="4"/>
  <c r="B29" i="5"/>
  <c r="A10" i="10"/>
  <c r="H10" i="9"/>
  <c r="A13" i="10"/>
  <c r="H13" i="9"/>
  <c r="D29" i="5"/>
  <c r="C88" i="4"/>
  <c r="F78" i="4"/>
  <c r="I12" i="9"/>
  <c r="B12" i="10"/>
  <c r="F66" i="4"/>
  <c r="C12" i="10" s="1"/>
  <c r="C103" i="4"/>
  <c r="C114" i="4"/>
  <c r="C21" i="10"/>
  <c r="C20" i="9"/>
  <c r="C93" i="4"/>
  <c r="J19" i="9"/>
  <c r="G12" i="10"/>
  <c r="C96" i="4"/>
  <c r="D30" i="5"/>
  <c r="C108" i="4"/>
  <c r="F9" i="10"/>
  <c r="I16" i="9"/>
  <c r="C16" i="9"/>
  <c r="C17" i="10"/>
  <c r="E18" i="3"/>
  <c r="C84" i="4"/>
  <c r="H18" i="9"/>
  <c r="E11" i="10"/>
  <c r="G13" i="10"/>
  <c r="J20" i="9"/>
  <c r="H11" i="9"/>
  <c r="A11" i="10"/>
  <c r="I9" i="9"/>
  <c r="B9" i="10"/>
  <c r="F63" i="4"/>
  <c r="C9" i="10" s="1"/>
  <c r="C82" i="4"/>
  <c r="C91" i="4"/>
  <c r="E29" i="5"/>
  <c r="C120" i="4"/>
  <c r="C100" i="4"/>
  <c r="C115" i="4"/>
  <c r="C85" i="4"/>
  <c r="C113" i="4"/>
  <c r="C98" i="4"/>
  <c r="C19" i="10"/>
  <c r="C18" i="9"/>
  <c r="C107" i="4"/>
  <c r="E64" i="3"/>
  <c r="E12" i="10"/>
  <c r="H19" i="9"/>
  <c r="H17" i="9"/>
  <c r="E10" i="10"/>
  <c r="C111" i="4"/>
  <c r="I10" i="9"/>
  <c r="B10" i="10"/>
  <c r="F64" i="4"/>
  <c r="C10" i="10" s="1"/>
  <c r="B13" i="10"/>
  <c r="I13" i="9"/>
  <c r="F67" i="4"/>
  <c r="C13" i="10" s="1"/>
  <c r="B45" i="3"/>
  <c r="D45" i="3"/>
  <c r="C45" i="3"/>
  <c r="A46" i="3"/>
  <c r="F45" i="3"/>
  <c r="C105" i="4"/>
  <c r="C80" i="4"/>
  <c r="C78" i="4"/>
  <c r="U102" i="2"/>
  <c r="C83" i="4"/>
  <c r="F12" i="10"/>
  <c r="I19" i="9"/>
  <c r="C92" i="4"/>
  <c r="G29" i="5"/>
  <c r="C104" i="4"/>
  <c r="I65" i="4"/>
  <c r="I64" i="4"/>
  <c r="I63" i="4"/>
  <c r="J64" i="4"/>
  <c r="K64" i="4" s="1"/>
  <c r="J65" i="4"/>
  <c r="K65" i="4" s="1"/>
  <c r="J63" i="4"/>
  <c r="C99" i="4"/>
  <c r="C101" i="4"/>
  <c r="J18" i="9"/>
  <c r="G11" i="10"/>
  <c r="I17" i="9"/>
  <c r="F10" i="10"/>
  <c r="C90" i="4"/>
  <c r="C89" i="4"/>
  <c r="B11" i="10"/>
  <c r="I11" i="9"/>
  <c r="F65" i="4"/>
  <c r="C11" i="10" s="1"/>
  <c r="C29" i="5"/>
  <c r="E78" i="4"/>
  <c r="C87" i="4"/>
  <c r="C117" i="4"/>
  <c r="C94" i="4"/>
  <c r="C95" i="4"/>
  <c r="C106" i="4"/>
  <c r="G30" i="5" l="1"/>
  <c r="C30" i="5"/>
  <c r="B30" i="5"/>
  <c r="F30" i="5"/>
  <c r="D46" i="3"/>
  <c r="A47" i="3"/>
  <c r="F46" i="3"/>
  <c r="C46" i="3"/>
  <c r="B46" i="3"/>
  <c r="E46" i="3" s="1"/>
  <c r="E30" i="5"/>
  <c r="U118" i="2"/>
  <c r="D31" i="5"/>
  <c r="J66" i="4"/>
  <c r="K63" i="4"/>
  <c r="A30" i="5"/>
  <c r="G78" i="4"/>
  <c r="E45" i="3"/>
  <c r="U136" i="2"/>
  <c r="G31" i="5"/>
  <c r="I66" i="4"/>
  <c r="C31" i="5"/>
  <c r="F32" i="5" l="1"/>
  <c r="C32" i="5"/>
  <c r="B33" i="5"/>
  <c r="C33" i="5"/>
  <c r="B31" i="5"/>
  <c r="A31" i="5"/>
  <c r="E32" i="5"/>
  <c r="A32" i="5"/>
  <c r="A33" i="5"/>
  <c r="B32" i="5"/>
  <c r="F33" i="5"/>
  <c r="F47" i="3"/>
  <c r="B47" i="3"/>
  <c r="E47" i="3" s="1"/>
  <c r="A48" i="3"/>
  <c r="D47" i="3"/>
  <c r="C47" i="3"/>
  <c r="D32" i="5"/>
  <c r="U153" i="2"/>
  <c r="G32" i="5"/>
  <c r="E31" i="5"/>
  <c r="K66" i="4"/>
  <c r="B28" i="10"/>
  <c r="F31" i="5"/>
  <c r="D48" i="3" l="1"/>
  <c r="C48" i="3"/>
  <c r="B48" i="3"/>
  <c r="A49" i="3"/>
  <c r="F48" i="3"/>
  <c r="D33" i="5"/>
  <c r="U160" i="2"/>
  <c r="F34" i="5"/>
  <c r="G33" i="5"/>
  <c r="E48" i="3" l="1"/>
  <c r="B49" i="3"/>
  <c r="E49" i="3" s="1"/>
  <c r="A50" i="3"/>
  <c r="F49" i="3"/>
  <c r="D49" i="3"/>
  <c r="C49" i="3"/>
  <c r="B34" i="5"/>
  <c r="U165" i="2"/>
  <c r="U188" i="2" l="1"/>
  <c r="U237" i="2" s="1"/>
  <c r="U238" i="2" s="1"/>
  <c r="U245" i="2" s="1"/>
  <c r="U251" i="2" s="1"/>
  <c r="D50" i="3"/>
  <c r="B50" i="3"/>
  <c r="E50" i="3" s="1"/>
  <c r="A51" i="3"/>
  <c r="F50" i="3"/>
  <c r="C50" i="3"/>
  <c r="C36" i="5"/>
  <c r="F51" i="5" l="1"/>
  <c r="E42" i="5"/>
  <c r="B41" i="5"/>
  <c r="D40" i="5"/>
  <c r="B39" i="5"/>
  <c r="B45" i="5"/>
  <c r="E33" i="5"/>
  <c r="E51" i="5"/>
  <c r="E46" i="5"/>
  <c r="F45" i="5"/>
  <c r="G45" i="5"/>
  <c r="B46" i="5"/>
  <c r="C34" i="5"/>
  <c r="E41" i="5"/>
  <c r="A42" i="5"/>
  <c r="A34" i="5"/>
  <c r="A37" i="5"/>
  <c r="C39" i="5"/>
  <c r="E43" i="5"/>
  <c r="F42" i="5"/>
  <c r="B43" i="5"/>
  <c r="C41" i="5"/>
  <c r="D44" i="5"/>
  <c r="F40" i="5"/>
  <c r="B38" i="5"/>
  <c r="G43" i="5"/>
  <c r="G41" i="5"/>
  <c r="E49" i="5"/>
  <c r="D41" i="5"/>
  <c r="D37" i="5"/>
  <c r="C23" i="5"/>
  <c r="B48" i="5"/>
  <c r="G34" i="5"/>
  <c r="B40" i="5"/>
  <c r="F48" i="5"/>
  <c r="F44" i="5"/>
  <c r="G40" i="5"/>
  <c r="F39" i="5"/>
  <c r="E34" i="5"/>
  <c r="F43" i="5"/>
  <c r="E37" i="5"/>
  <c r="E38" i="5"/>
  <c r="G48" i="5"/>
  <c r="C49" i="5"/>
  <c r="E36" i="5"/>
  <c r="A35" i="5"/>
  <c r="A43" i="5"/>
  <c r="D39" i="5"/>
  <c r="D50" i="5"/>
  <c r="D35" i="5"/>
  <c r="G50" i="5"/>
  <c r="B47" i="5"/>
  <c r="E47" i="5"/>
  <c r="F41" i="5"/>
  <c r="A49" i="5"/>
  <c r="A40" i="5"/>
  <c r="G35" i="5"/>
  <c r="D34" i="5"/>
  <c r="D48" i="5"/>
  <c r="D49" i="5"/>
  <c r="E45" i="5"/>
  <c r="E35" i="5"/>
  <c r="A44" i="5"/>
  <c r="C50" i="5"/>
  <c r="C37" i="5"/>
  <c r="C44" i="5"/>
  <c r="B49" i="5"/>
  <c r="C47" i="5"/>
  <c r="D46" i="5"/>
  <c r="B37" i="5"/>
  <c r="G51" i="5"/>
  <c r="A39" i="5"/>
  <c r="A36" i="5"/>
  <c r="G44" i="5"/>
  <c r="A46" i="5"/>
  <c r="F46" i="5"/>
  <c r="A41" i="5"/>
  <c r="D38" i="5"/>
  <c r="C40" i="5"/>
  <c r="D36" i="5"/>
  <c r="A45" i="5"/>
  <c r="A47" i="5"/>
  <c r="D42" i="5"/>
  <c r="F36" i="5"/>
  <c r="B42" i="5"/>
  <c r="D51" i="5"/>
  <c r="B36" i="5"/>
  <c r="E44" i="5"/>
  <c r="C35" i="5"/>
  <c r="G37" i="5"/>
  <c r="D47" i="5"/>
  <c r="E40" i="5"/>
  <c r="C51" i="5"/>
  <c r="F49" i="5"/>
  <c r="E39" i="5"/>
  <c r="F50" i="5"/>
  <c r="B51" i="5"/>
  <c r="F37" i="5"/>
  <c r="E50" i="5"/>
  <c r="G46" i="5"/>
  <c r="F35" i="5"/>
  <c r="G39" i="5"/>
  <c r="C38" i="5"/>
  <c r="G36" i="5"/>
  <c r="B44" i="5"/>
  <c r="A51" i="5"/>
  <c r="A48" i="5"/>
  <c r="C43" i="5"/>
  <c r="F47" i="5"/>
  <c r="E48" i="5"/>
  <c r="D43" i="5"/>
  <c r="B35" i="5"/>
  <c r="F38" i="5"/>
  <c r="B50" i="5"/>
  <c r="C46" i="5"/>
  <c r="D45" i="5"/>
  <c r="A38" i="5"/>
  <c r="G47" i="5"/>
  <c r="G38" i="5"/>
  <c r="C48" i="5"/>
  <c r="A50" i="5"/>
  <c r="C42" i="5"/>
  <c r="G42" i="5"/>
  <c r="C45" i="5"/>
  <c r="G49" i="5"/>
  <c r="F51" i="3"/>
  <c r="D51" i="3"/>
  <c r="C51" i="3"/>
  <c r="B51" i="3"/>
  <c r="E51" i="3" s="1"/>
  <c r="A52" i="3"/>
  <c r="A53" i="3" l="1"/>
  <c r="F52" i="3"/>
  <c r="D52" i="3"/>
  <c r="B52" i="3"/>
  <c r="E52" i="3" s="1"/>
  <c r="C52" i="3"/>
  <c r="B53" i="3" l="1"/>
  <c r="C53" i="3"/>
  <c r="C10" i="9" s="1"/>
  <c r="A54" i="3"/>
  <c r="F53" i="3"/>
  <c r="C8" i="9" s="1"/>
  <c r="D53" i="3"/>
  <c r="C11" i="9" s="1"/>
  <c r="D54" i="3" l="1"/>
  <c r="B11" i="9" s="1"/>
  <c r="D11" i="9" s="1"/>
  <c r="F54" i="3"/>
  <c r="C54" i="3"/>
  <c r="B10" i="9" s="1"/>
  <c r="D10" i="9" s="1"/>
  <c r="B54" i="3"/>
  <c r="A55" i="3"/>
  <c r="C12" i="9"/>
  <c r="C9" i="9"/>
  <c r="E53" i="3"/>
  <c r="B12" i="9" l="1"/>
  <c r="D12" i="9" s="1"/>
  <c r="B9" i="9"/>
  <c r="D9" i="9" s="1"/>
  <c r="E54" i="3"/>
  <c r="B8" i="9"/>
  <c r="F55" i="3"/>
  <c r="D55" i="3"/>
  <c r="D56" i="3" s="1"/>
  <c r="B55" i="3"/>
  <c r="C55" i="3"/>
  <c r="C56" i="3" s="1"/>
  <c r="E55" i="3" l="1"/>
  <c r="B56" i="3"/>
  <c r="B2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Analyst</author>
  </authors>
  <commentList>
    <comment ref="O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Green headers (O:U) are helper columns added with formulas (EOMONTH, DATEDIF, TODAY, COUNTIF). Columns A:N are the original dataset.</t>
        </r>
      </text>
    </comment>
  </commentList>
</comments>
</file>

<file path=xl/sharedStrings.xml><?xml version="1.0" encoding="utf-8"?>
<sst xmlns="http://schemas.openxmlformats.org/spreadsheetml/2006/main" count="2641" uniqueCount="607">
  <si>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</si>
  <si>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</si>
  <si>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</si>
  <si>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</si>
  <si>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</si>
  <si>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</si>
  <si>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</si>
  <si>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</si>
  <si>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</si>
  <si>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</si>
  <si>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</si>
  <si>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</si>
  <si>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</si>
  <si>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</si>
  <si>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Month_Start</t>
  </si>
  <si>
    <t>Month_End</t>
  </si>
  <si>
    <t>Tenure_Yrs</t>
  </si>
  <si>
    <t>Days_Since_Purchase</t>
  </si>
  <si>
    <t>Name_Count</t>
  </si>
  <si>
    <t>Purchase_Type</t>
  </si>
  <si>
    <t>Filter_Seq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</si>
  <si>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</si>
  <si>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</si>
  <si>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</si>
  <si>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</si>
  <si>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</si>
  <si>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</si>
  <si>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</si>
  <si>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</si>
  <si>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</si>
  <si>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</si>
  <si>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</si>
  <si>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</si>
  <si>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</si>
  <si>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</si>
  <si>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</si>
  <si>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</si>
  <si>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</si>
  <si>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</si>
  <si>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</si>
  <si>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</si>
  <si>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</si>
  <si>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</si>
  <si>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</si>
  <si>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</si>
  <si>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</si>
  <si>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</si>
  <si>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</si>
  <si>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</si>
  <si>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</si>
  <si>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</si>
  <si>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</si>
  <si>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</si>
  <si>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</si>
  <si>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</si>
  <si>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</si>
  <si>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</si>
  <si>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</si>
  <si>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</si>
  <si>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</si>
  <si>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</si>
  <si>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</si>
  <si>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</si>
  <si>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</si>
  <si>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</si>
  <si>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</si>
  <si>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</si>
  <si>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</si>
  <si>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</si>
  <si>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</si>
  <si>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</si>
  <si>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TRX0138</t>
  </si>
  <si>
    <t>CUST022</t>
  </si>
  <si>
    <t>Susan Green</t>
  </si>
  <si>
    <t>TRX0185</t>
  </si>
  <si>
    <t>CUST026</t>
  </si>
  <si>
    <t>Karen Hill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</si>
  <si>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</si>
  <si>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</si>
  <si>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</si>
  <si>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</si>
  <si>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</si>
  <si>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</si>
  <si>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</si>
  <si>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</si>
  <si>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</si>
  <si>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</si>
  <si>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</si>
  <si>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</si>
  <si>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</si>
  <si>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</si>
  <si>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</si>
  <si>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</si>
  <si>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</si>
  <si>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</si>
  <si>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TRX0122</t>
  </si>
  <si>
    <t>TRX0134</t>
  </si>
  <si>
    <t>CUST010</t>
  </si>
  <si>
    <t>Maria Garcia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</si>
  <si>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</si>
  <si>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</si>
  <si>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</si>
  <si>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</si>
  <si>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</si>
  <si>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</si>
  <si>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</si>
  <si>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</si>
  <si>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</si>
  <si>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</si>
  <si>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</si>
  <si>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</si>
  <si>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</si>
  <si>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</si>
  <si>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</si>
  <si>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</si>
  <si>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</si>
  <si>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</si>
  <si>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TRX0004</t>
  </si>
  <si>
    <t>P010</t>
  </si>
  <si>
    <t>Keyboard</t>
  </si>
  <si>
    <t>TRX0040</t>
  </si>
  <si>
    <t>TRX0235</t>
  </si>
  <si>
    <t>CUST014</t>
  </si>
  <si>
    <t>Linda Martin</t>
  </si>
  <si>
    <t>P004</t>
  </si>
  <si>
    <t>Coffee Maker</t>
  </si>
  <si>
    <t>TRX0063</t>
  </si>
  <si>
    <t>CUST030</t>
  </si>
  <si>
    <t>Helen Roberts</t>
  </si>
  <si>
    <t>TRX0029</t>
  </si>
  <si>
    <t>P006</t>
  </si>
  <si>
    <t>Office Chair</t>
  </si>
  <si>
    <t>TRX0241</t>
  </si>
  <si>
    <t>CUST029</t>
  </si>
  <si>
    <t>Edward Mitchell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</si>
  <si>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</si>
  <si>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</si>
  <si>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</si>
  <si>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</si>
  <si>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</si>
  <si>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</si>
  <si>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</si>
  <si>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</si>
  <si>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</si>
  <si>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</si>
  <si>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</si>
  <si>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</si>
  <si>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</si>
  <si>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</si>
  <si>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</si>
  <si>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</si>
  <si>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</si>
  <si>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</si>
  <si>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</si>
  <si>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</si>
  <si>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</si>
  <si>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TRX0117</t>
  </si>
  <si>
    <t>TRX0128</t>
  </si>
  <si>
    <t>CUST040</t>
  </si>
  <si>
    <t>Sharon Butler</t>
  </si>
  <si>
    <t>TRX0208</t>
  </si>
  <si>
    <t>CUST004</t>
  </si>
  <si>
    <t>Sarah Davis</t>
  </si>
  <si>
    <t>TRX0121</t>
  </si>
  <si>
    <t>CUST028</t>
  </si>
  <si>
    <t>Betty Campbell</t>
  </si>
  <si>
    <t>TRX0234</t>
  </si>
  <si>
    <t>TRX0220</t>
  </si>
  <si>
    <t>TRX0093</t>
  </si>
  <si>
    <t>CUST050</t>
  </si>
  <si>
    <t>Julie Foster</t>
  </si>
  <si>
    <t>TRX0088</t>
  </si>
  <si>
    <t>TRX0044</t>
  </si>
  <si>
    <t>TRX0115</t>
  </si>
  <si>
    <t>TRX0154</t>
  </si>
  <si>
    <t>TRX0061</t>
  </si>
  <si>
    <t>TRX0150</t>
  </si>
  <si>
    <t>TRX0025</t>
  </si>
  <si>
    <t>CUST049</t>
  </si>
  <si>
    <t>Raymond Ross</t>
  </si>
  <si>
    <t>TRX0007</t>
  </si>
  <si>
    <t>TRX0078</t>
  </si>
  <si>
    <t>TRX0104</t>
  </si>
  <si>
    <t>TRX0184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</si>
  <si>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</si>
  <si>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</si>
  <si>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</si>
  <si>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</si>
  <si>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</si>
  <si>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</si>
  <si>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</si>
  <si>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</si>
  <si>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</si>
  <si>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</si>
  <si>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</si>
  <si>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</si>
  <si>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</si>
  <si>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</si>
  <si>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</si>
  <si>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</si>
  <si>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</si>
  <si>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</si>
  <si>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</si>
  <si>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</si>
  <si>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</si>
  <si>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</si>
  <si>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</si>
  <si>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</si>
  <si>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</si>
  <si>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</si>
  <si>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</si>
  <si>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</si>
  <si>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</si>
  <si>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TRX0002</t>
  </si>
  <si>
    <t>TRX0157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</si>
  <si>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</si>
  <si>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</si>
  <si>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</si>
  <si>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</si>
  <si>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</si>
  <si>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</si>
  <si>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</si>
  <si>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</si>
  <si>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</si>
  <si>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</si>
  <si>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</si>
  <si>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</si>
  <si>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</si>
  <si>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</si>
  <si>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TRX0031</t>
  </si>
  <si>
    <t>TRX0132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</si>
  <si>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</si>
  <si>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</si>
  <si>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</si>
  <si>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</si>
  <si>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</si>
  <si>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</si>
  <si>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</si>
  <si>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</si>
  <si>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</si>
  <si>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</si>
  <si>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</si>
  <si>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</si>
  <si>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TRX0074</t>
  </si>
  <si>
    <t>TRX0099</t>
  </si>
  <si>
    <t>TRX0225</t>
  </si>
  <si>
    <t>TRX0100</t>
  </si>
  <si>
    <t>TRX0112</t>
  </si>
  <si>
    <t>TRX0142</t>
  </si>
  <si>
    <t>TRX0161</t>
  </si>
  <si>
    <t>TRX0108</t>
  </si>
  <si>
    <t>TRX0211</t>
  </si>
  <si>
    <t>TRX0005</t>
  </si>
  <si>
    <t>CUST042</t>
  </si>
  <si>
    <t>Ruth Brooks</t>
  </si>
  <si>
    <t>TRX0054</t>
  </si>
  <si>
    <t>TRX0195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</si>
  <si>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</si>
  <si>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</si>
  <si>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</si>
  <si>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</si>
  <si>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</si>
  <si>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</si>
  <si>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</si>
  <si>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</si>
  <si>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</si>
  <si>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</si>
  <si>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</si>
  <si>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</si>
  <si>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</si>
  <si>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</si>
  <si>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</si>
  <si>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</si>
  <si>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</si>
  <si>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</si>
  <si>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TRX0034</t>
  </si>
  <si>
    <t>TRX0173</t>
  </si>
  <si>
    <t>TRX0189</t>
  </si>
  <si>
    <t>TRX0190</t>
  </si>
  <si>
    <t>TRX0079</t>
  </si>
  <si>
    <t>TRX0009</t>
  </si>
  <si>
    <t>TRX0095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</si>
  <si>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</si>
  <si>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</si>
  <si>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</si>
  <si>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</si>
  <si>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</si>
  <si>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</si>
  <si>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</si>
  <si>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</si>
  <si>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TRX0076</t>
  </si>
  <si>
    <t>TRX0172</t>
  </si>
  <si>
    <t>TRX0149</t>
  </si>
  <si>
    <t>TRX0210</t>
  </si>
  <si>
    <t>TRX0033</t>
  </si>
  <si>
    <t>TRX0073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</si>
  <si>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</si>
  <si>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</si>
  <si>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</si>
  <si>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</si>
  <si>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</si>
  <si>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</si>
  <si>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</si>
  <si>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</si>
  <si>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</si>
  <si>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</si>
  <si>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</si>
  <si>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</si>
  <si>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</si>
  <si>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TRX0036</t>
  </si>
  <si>
    <t>TRX0082</t>
  </si>
  <si>
    <t>CUST005</t>
  </si>
  <si>
    <t>James Johnson</t>
  </si>
  <si>
    <t>TRX0180</t>
  </si>
  <si>
    <t>TRX0198</t>
  </si>
  <si>
    <t>TRX0032</t>
  </si>
  <si>
    <t>TRX0081</t>
  </si>
  <si>
    <t>TRX0224</t>
  </si>
  <si>
    <t>TRX0028</t>
  </si>
  <si>
    <t>TRX0163</t>
  </si>
  <si>
    <t>TRX0183</t>
  </si>
  <si>
    <t>TRX0046</t>
  </si>
  <si>
    <t>TRX0008</t>
  </si>
  <si>
    <t>TRX0164</t>
  </si>
  <si>
    <t>TRX0171</t>
  </si>
  <si>
    <t>TRX0143</t>
  </si>
  <si>
    <t>TRX0165</t>
  </si>
  <si>
    <t>TRX0147</t>
  </si>
  <si>
    <t>TRX0156</t>
  </si>
  <si>
    <t>TRX0207</t>
  </si>
  <si>
    <t>TRX0056</t>
  </si>
  <si>
    <t>TRX0026</t>
  </si>
  <si>
    <t>CUST037</t>
  </si>
  <si>
    <t>Arthur Edwards</t>
  </si>
  <si>
    <t>TRX0091</t>
  </si>
  <si>
    <t>TRX0237</t>
  </si>
  <si>
    <t>TRX0125</t>
  </si>
  <si>
    <t>TRX0223</t>
  </si>
  <si>
    <t>TRX0243</t>
  </si>
  <si>
    <t>TRX0084</t>
  </si>
  <si>
    <t>TRX0238</t>
  </si>
  <si>
    <t>TRX0022</t>
  </si>
  <si>
    <t>TRX0102</t>
  </si>
  <si>
    <t>TRX0051</t>
  </si>
  <si>
    <t>TRX0087</t>
  </si>
  <si>
    <t>TRX0107</t>
  </si>
  <si>
    <t>TRX0059</t>
  </si>
  <si>
    <t>TRX0072</t>
  </si>
  <si>
    <t>TRX0106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</si>
  <si>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</si>
  <si>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</si>
  <si>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</si>
  <si>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</si>
  <si>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</si>
  <si>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</si>
  <si>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</si>
  <si>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</si>
  <si>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</si>
  <si>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</si>
  <si>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</si>
  <si>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</si>
  <si>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</si>
  <si>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</si>
  <si>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</si>
  <si>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</si>
  <si>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</si>
  <si>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TRX0168</t>
  </si>
  <si>
    <t>TRX0179</t>
  </si>
  <si>
    <t>TRX0214</t>
  </si>
  <si>
    <t>TRX0221</t>
  </si>
  <si>
    <t>TRX0083</t>
  </si>
  <si>
    <t>TRX0151</t>
  </si>
  <si>
    <t>TRX0047</t>
  </si>
  <si>
    <t>TRX0062</t>
  </si>
  <si>
    <t>TRX0200</t>
  </si>
  <si>
    <t>TRX0182</t>
  </si>
  <si>
    <t>TRX0048</t>
  </si>
  <si>
    <t>TRX0229</t>
  </si>
  <si>
    <t>TRX0227</t>
  </si>
  <si>
    <t>TRX0226</t>
  </si>
  <si>
    <t>TRX0053</t>
  </si>
  <si>
    <t>TRX0175</t>
  </si>
  <si>
    <t>TRX0233</t>
  </si>
  <si>
    <t>TRX0016</t>
  </si>
  <si>
    <t>TRX0186</t>
  </si>
  <si>
    <t>TRX0199</t>
  </si>
  <si>
    <t>TRX0038</t>
  </si>
  <si>
    <t>TRX0014</t>
  </si>
  <si>
    <t>TRX0003</t>
  </si>
  <si>
    <t>TRX0013</t>
  </si>
  <si>
    <t>TRX0124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</si>
  <si>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</si>
  <si>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</si>
  <si>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</si>
  <si>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</si>
  <si>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</si>
  <si>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</si>
  <si>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</si>
  <si>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</si>
  <si>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</si>
  <si>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</si>
  <si>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</si>
  <si>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</si>
  <si>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TRX0064</t>
  </si>
  <si>
    <t>TRX0103</t>
  </si>
  <si>
    <t>TRX0120</t>
  </si>
  <si>
    <t>Analysis Sheet – Formula-based Summary Tables</t>
  </si>
  <si>
    <t>KPI Summary</t>
  </si>
  <si>
    <t>Total Revenue</t>
  </si>
  <si>
    <t>Total Transactions</t>
  </si>
  <si>
    <t>Total Units Sold</t>
  </si>
  <si>
    <t>Average Order Value</t>
  </si>
  <si>
    <t>Unique Customers</t>
  </si>
  <si>
    <t>Avg Revenue per Customer</t>
  </si>
  <si>
    <t>Sales by Region</t>
  </si>
  <si>
    <t>Revenue</t>
  </si>
  <si>
    <t>Orders</t>
  </si>
  <si>
    <t>Units</t>
  </si>
  <si>
    <t>% of Revenue</t>
  </si>
  <si>
    <t>Avg Order Value</t>
  </si>
  <si>
    <t>Performance Index (vs avg)</t>
  </si>
  <si>
    <t>Total</t>
  </si>
  <si>
    <t>Sales by Category</t>
  </si>
  <si>
    <t>Sales by Product</t>
  </si>
  <si>
    <t>Rank (Units)</t>
  </si>
  <si>
    <t>Abbreviation</t>
  </si>
  <si>
    <t>Monthly Sales Trend</t>
  </si>
  <si>
    <t>Month Start</t>
  </si>
  <si>
    <t>MoM % Change</t>
  </si>
  <si>
    <t>Month Label</t>
  </si>
  <si>
    <t>Sales by Payment Method</t>
  </si>
  <si>
    <t>Sales by Customer Segment</t>
  </si>
  <si>
    <t>Most Frequently Purchased / Repeating Names (formulas)</t>
  </si>
  <si>
    <t>Question</t>
  </si>
  <si>
    <t>Answer</t>
  </si>
  <si>
    <t>Count / Value</t>
  </si>
  <si>
    <t>Most frequently purchased product (by no. of orders)</t>
  </si>
  <si>
    <t>Most sold product (by units)</t>
  </si>
  <si>
    <t>Highest revenue product</t>
  </si>
  <si>
    <t>Most repeated customer name (Raw Data)</t>
  </si>
  <si>
    <t>Repeat purchases (name already seen earlier)</t>
  </si>
  <si>
    <t>First-time purchases (= unique customers)</t>
  </si>
  <si>
    <t>Top 5 Most Sold Products (by units)</t>
  </si>
  <si>
    <t>Rank</t>
  </si>
  <si>
    <t>Product</t>
  </si>
  <si>
    <t>Customer Analysis – GroupBy (formulas), High-Value Customers, List Comparison, Abbreviations</t>
  </si>
  <si>
    <t>High-Value percentile (input)</t>
  </si>
  <si>
    <t>High-Value revenue threshold</t>
  </si>
  <si>
    <t>Initials</t>
  </si>
  <si>
    <t>Customer Code</t>
  </si>
  <si>
    <t>Revenue Rank</t>
  </si>
  <si>
    <t>Value Tier</t>
  </si>
  <si>
    <t>Electronics Orders</t>
  </si>
  <si>
    <t>Furniture Orders</t>
  </si>
  <si>
    <t>Elec_Seq</t>
  </si>
  <si>
    <t>Furn_Seq</t>
  </si>
  <si>
    <t>Top 10 Customers by Revenue</t>
  </si>
  <si>
    <t>% of Total Revenue</t>
  </si>
  <si>
    <t>Customers</t>
  </si>
  <si>
    <t>High-Value</t>
  </si>
  <si>
    <t>Mid-Value</t>
  </si>
  <si>
    <t>Low-Value</t>
  </si>
  <si>
    <t>Compare Two Lists – extract matching names into a new column</t>
  </si>
  <si>
    <t>List A: Electronics buyers</t>
  </si>
  <si>
    <t>List B: Furniture buyers</t>
  </si>
  <si>
    <t>Matching names (in A and B)</t>
  </si>
  <si>
    <t>Count A</t>
  </si>
  <si>
    <t>Count B</t>
  </si>
  <si>
    <t>Matches</t>
  </si>
  <si>
    <t>Date &amp; Time Functions • FILTER • Timestamp</t>
  </si>
  <si>
    <t>1. Date &amp; Time Functions: TODAY, NOW, DATEDIF, EOMONTH</t>
  </si>
  <si>
    <t>Item</t>
  </si>
  <si>
    <t>Result</t>
  </si>
  <si>
    <t>Function used</t>
  </si>
  <si>
    <t>Today</t>
  </si>
  <si>
    <t>TODAY()</t>
  </si>
  <si>
    <t>Now (date &amp; time)</t>
  </si>
  <si>
    <t>NOW()</t>
  </si>
  <si>
    <t>First transaction date</t>
  </si>
  <si>
    <t>MIN</t>
  </si>
  <si>
    <t>Last transaction date</t>
  </si>
  <si>
    <t>MAX</t>
  </si>
  <si>
    <t>Years covered (first to last)</t>
  </si>
  <si>
    <t>DATEDIF(...,"Y")</t>
  </si>
  <si>
    <t>Months covered</t>
  </si>
  <si>
    <t>DATEDIF(...,"M")</t>
  </si>
  <si>
    <t>Days covered</t>
  </si>
  <si>
    <t>DATEDIF(...,"D")</t>
  </si>
  <si>
    <t>Oldest customer tenure to today (years)</t>
  </si>
  <si>
    <t>DATEDIF(Customer_Since, TODAY())</t>
  </si>
  <si>
    <t>Month-end of last transaction</t>
  </si>
  <si>
    <t>EOMONTH(date,0)</t>
  </si>
  <si>
    <t>Month-end of current month</t>
  </si>
  <si>
    <t>EOMONTH(TODAY(),0)</t>
  </si>
  <si>
    <t>Days left in current month</t>
  </si>
  <si>
    <t>EOMONTH - TODAY</t>
  </si>
  <si>
    <t>Days since last transaction</t>
  </si>
  <si>
    <t>TODAY - MAX(date)</t>
  </si>
  <si>
    <t>2. FILTER – multi-value return (dynamic extraction of matching rows)</t>
  </si>
  <si>
    <t>Region (select)</t>
  </si>
  <si>
    <t>Minimum Total_Amount</t>
  </si>
  <si>
    <t>Matching rows</t>
  </si>
  <si>
    <t>3. Create Timestamp – NOW() with iterative calculation (circular reference)</t>
  </si>
  <si>
    <t>Type anything in column B (e.g., "Done"). Column C records the moment of entry and then stays frozen.</t>
  </si>
  <si>
    <t>Task / Entry</t>
  </si>
  <si>
    <t>Status (type here)</t>
  </si>
  <si>
    <t>Timestamp</t>
  </si>
  <si>
    <t>Entry 1</t>
  </si>
  <si>
    <t>Done</t>
  </si>
  <si>
    <t>Entry 2</t>
  </si>
  <si>
    <t>Entry 3</t>
  </si>
  <si>
    <t>Entry 4</t>
  </si>
  <si>
    <t>Entry 5</t>
  </si>
  <si>
    <t>Entry 6</t>
  </si>
  <si>
    <t>Entry 7</t>
  </si>
  <si>
    <t>Entry 8</t>
  </si>
  <si>
    <t>Entry 9</t>
  </si>
  <si>
    <t>Entry 10</t>
  </si>
  <si>
    <t>What-If Analysis – Scenario Manager &amp; Goal Seek</t>
  </si>
  <si>
    <t>A. Base inputs</t>
  </si>
  <si>
    <t>Base Revenue (from dataset)</t>
  </si>
  <si>
    <t>Cost as % of revenue (ASSUMPTION – not in dataset)</t>
  </si>
  <si>
    <t>Selected scenario (1=Base, 2=Best, 3=Worst)</t>
  </si>
  <si>
    <t>B. Scenario inputs (changing cells)</t>
  </si>
  <si>
    <t>Parameter</t>
  </si>
  <si>
    <t>Base</t>
  </si>
  <si>
    <t>Best</t>
  </si>
  <si>
    <t>Worst</t>
  </si>
  <si>
    <t>Selected</t>
  </si>
  <si>
    <t>Price change %</t>
  </si>
  <si>
    <t>Volume change %</t>
  </si>
  <si>
    <t>Discount %</t>
  </si>
  <si>
    <t>C. Scenario Summary (result cells)</t>
  </si>
  <si>
    <t>Metric</t>
  </si>
  <si>
    <t>Projected Revenue</t>
  </si>
  <si>
    <t>Projected Cost</t>
  </si>
  <si>
    <t>Profit</t>
  </si>
  <si>
    <t>Profit Margin</t>
  </si>
  <si>
    <t>Revenue vs Base %</t>
  </si>
  <si>
    <t>Profit vs Base %</t>
  </si>
  <si>
    <t>D. Goal Seek – find the volume change needed to reach a revenue target</t>
  </si>
  <si>
    <t>Target revenue growth over base</t>
  </si>
  <si>
    <t>Target revenue</t>
  </si>
  <si>
    <t>Price change % (fixed)</t>
  </si>
  <si>
    <t>Discount % (fixed)</t>
  </si>
  <si>
    <t>Volume change %  ← CHANGING CELL</t>
  </si>
  <si>
    <t>Revenue at that volume  ← SET CELL</t>
  </si>
  <si>
    <t>Gap vs target (should be 0 after Goal Seek)</t>
  </si>
  <si>
    <t>Check: analytical answer for B28</t>
  </si>
  <si>
    <t>Linear Regression – Data Analysis ToolPak style output</t>
  </si>
  <si>
    <t>SUMMARY OUTPUT – 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</si>
  <si>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</si>
  <si>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</si>
  <si>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</si>
  <si>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</si>
  <si>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</si>
  <si>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</si>
  <si>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</si>
  <si>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</si>
  <si>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</si>
  <si>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</si>
  <si>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</si>
  <si>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</si>
  <si>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</si>
  <si>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</si>
  <si>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</si>
  <si>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</si>
  <si>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</si>
  <si>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</si>
  <si>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Intercept</t>
  </si>
  <si>
    <t>Prediction using the fitted equation</t>
  </si>
  <si>
    <t>Quantity (input)</t>
  </si>
  <si>
    <t>Unit_Price (input)</t>
  </si>
  <si>
    <t>Predicted Total_Amount</t>
  </si>
  <si>
    <t>Actual Quantity × Price</t>
  </si>
  <si>
    <t>Visualizations – Charts (linked to Analysis &amp; Customer Analysis)</t>
  </si>
  <si>
    <t>DATA INTELLIGENCE DASHBOARD</t>
  </si>
  <si>
    <t>Transactions</t>
  </si>
  <si>
    <t>Units Sold</t>
  </si>
  <si>
    <t>KPI Indicators (last complete month vs previous month)</t>
  </si>
  <si>
    <t>Top 5 Customers</t>
  </si>
  <si>
    <t>Change %</t>
  </si>
  <si>
    <t>Customer</t>
  </si>
  <si>
    <t>Tier</t>
  </si>
  <si>
    <t>Regional Sales (pivot-style)</t>
  </si>
  <si>
    <t>Top 5 Most Sold Products</t>
  </si>
  <si>
    <t>% Share</t>
  </si>
  <si>
    <t>Index vs Avg</t>
  </si>
  <si>
    <t>Product (most sold)</t>
  </si>
  <si>
    <t>Final Report – Insights &amp; Storytelling</t>
  </si>
  <si>
    <t>A. Summary Insights – key metrics</t>
  </si>
  <si>
    <t>Top Customers</t>
  </si>
  <si>
    <t>Most Sold Products</t>
  </si>
  <si>
    <t>Regional Sales</t>
  </si>
  <si>
    <t>B. The Story – what the data tells us</t>
  </si>
  <si>
    <t>1. Overview</t>
  </si>
  <si>
    <t>2. Regions</t>
  </si>
  <si>
    <t>3. Categories</t>
  </si>
  <si>
    <t>4. Products</t>
  </si>
  <si>
    <t>5. Customers</t>
  </si>
  <si>
    <t>6. Time trend</t>
  </si>
  <si>
    <t>7. Payments</t>
  </si>
  <si>
    <t>8. Loyalty</t>
  </si>
  <si>
    <t>9. Regression</t>
  </si>
  <si>
    <t>10. What-If</t>
  </si>
  <si>
    <t>Recommendations</t>
  </si>
  <si>
    <t>Focus marketing on High-Value customers and the top region; bundle slow-moving Appliances with high-selling Electronics; support the weakest region with targeted offers; push preferred payment options at checkout; and track monthly MoM arrows on the Dashboard to spot slowdowns early.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</si>
</sst>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\-mm\-dd"/>
    <numFmt numFmtId="165" formatCode="\$#,##0.00"/>
    <numFmt numFmtId="166" formatCode="0.0%"/>
    <numFmt numFmtId="167" formatCode="mmm\-yyyy"/>
    <numFmt numFmtId="168" formatCode="dd\-mmm\-yyyy"/>
    <numFmt numFmtId="169" formatCode="dd\-mmm\-yyyy\ hh:mm:ss"/>
    <numFmt numFmtId="170" formatCode="0.0000%"/>
    <numFmt numFmtId="171" formatCode="0.0000"/>
    <numFmt numFmtId="172" formatCode="0.0000E+00"/>
    <numFmt numFmtId="173" formatCode="#,##0.0000"/>
    <numFmt numFmtId="174" formatCode="\$#,##0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sz val="10"/>
      <color rgb="FF7F7F7F"/>
      <name val="Arial"/>
    </font>
    <font>
      <sz val="10"/>
      <color rgb="FF0000FF"/>
      <name val="Arial"/>
    </font>
    <font>
      <i/>
      <sz val="10"/>
      <color rgb="FF7F7F7F"/>
      <name val="Arial"/>
    </font>
    <font>
      <sz val="10"/>
      <color rgb="FF595959"/>
      <name val="Arial"/>
    </font>
    <font>
      <b/>
      <sz val="10"/>
      <color rgb="FFFFFFFF"/>
      <name val="Arial"/>
    </font>
    <font>
      <b/>
      <sz val="18"/>
      <color rgb="FF1F3864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5" tint="0.39997558519241921"/>
        <bgColor rgb="FFDDEBF7"/>
      </patternFill>
    </fill>
    <fill>
      <patternFill patternType="solid">
        <fgColor theme="5" tint="0.39997558519241921"/>
        <bgColor rgb="FFC6E0B4"/>
      </patternFill>
    </fill>
    <fill>
      <patternFill patternType="solid">
        <fgColor theme="5" tint="0.39997558519241921"/>
        <bgColor rgb="FF1F38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2F5597"/>
      </patternFill>
    </fill>
    <fill>
      <patternFill patternType="solid">
        <fgColor theme="5" tint="0.7999816888943144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vertical="top" wrapText="1"/>
    </xf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17" fontId="1" fillId="0" borderId="0" xfId="0" applyNumberFormat="1" applyFont="1"/>
    <xf numFmtId="1" fontId="1" fillId="0" borderId="0" xfId="0" applyNumberFormat="1" applyFont="1"/>
    <xf numFmtId="0" fontId="2" fillId="0" borderId="1" xfId="0" applyFont="1" applyBorder="1"/>
    <xf numFmtId="165" fontId="1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/>
    <xf numFmtId="166" fontId="1" fillId="0" borderId="1" xfId="0" applyNumberFormat="1" applyFont="1" applyBorder="1"/>
    <xf numFmtId="2" fontId="1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" fontId="1" fillId="0" borderId="1" xfId="0" applyNumberFormat="1" applyFont="1" applyBorder="1"/>
    <xf numFmtId="167" fontId="1" fillId="0" borderId="1" xfId="0" applyNumberFormat="1" applyFont="1" applyBorder="1"/>
    <xf numFmtId="0" fontId="6" fillId="0" borderId="0" xfId="0" applyFont="1"/>
    <xf numFmtId="9" fontId="7" fillId="2" borderId="1" xfId="0" applyNumberFormat="1" applyFont="1" applyFill="1" applyBorder="1"/>
    <xf numFmtId="168" fontId="1" fillId="0" borderId="1" xfId="0" applyNumberFormat="1" applyFont="1" applyBorder="1"/>
    <xf numFmtId="169" fontId="1" fillId="0" borderId="1" xfId="0" applyNumberFormat="1" applyFont="1" applyBorder="1"/>
    <xf numFmtId="0" fontId="7" fillId="2" borderId="1" xfId="0" applyFont="1" applyFill="1" applyBorder="1"/>
    <xf numFmtId="165" fontId="7" fillId="2" borderId="1" xfId="0" applyNumberFormat="1" applyFont="1" applyFill="1" applyBorder="1"/>
    <xf numFmtId="0" fontId="8" fillId="0" borderId="0" xfId="0" applyFont="1"/>
    <xf numFmtId="0" fontId="9" fillId="0" borderId="0" xfId="0" applyFont="1"/>
    <xf numFmtId="1" fontId="7" fillId="2" borderId="1" xfId="0" applyNumberFormat="1" applyFont="1" applyFill="1" applyBorder="1"/>
    <xf numFmtId="166" fontId="7" fillId="2" borderId="1" xfId="0" applyNumberFormat="1" applyFont="1" applyFill="1" applyBorder="1"/>
    <xf numFmtId="170" fontId="7" fillId="2" borderId="1" xfId="0" applyNumberFormat="1" applyFont="1" applyFill="1" applyBorder="1"/>
    <xf numFmtId="170" fontId="1" fillId="0" borderId="1" xfId="0" applyNumberFormat="1" applyFont="1" applyBorder="1"/>
    <xf numFmtId="171" fontId="1" fillId="0" borderId="1" xfId="0" applyNumberFormat="1" applyFont="1" applyBorder="1"/>
    <xf numFmtId="4" fontId="1" fillId="0" borderId="1" xfId="0" applyNumberFormat="1" applyFont="1" applyBorder="1"/>
    <xf numFmtId="172" fontId="1" fillId="0" borderId="1" xfId="0" applyNumberFormat="1" applyFont="1" applyBorder="1"/>
    <xf numFmtId="173" fontId="1" fillId="0" borderId="1" xfId="0" applyNumberFormat="1" applyFont="1" applyBorder="1"/>
    <xf numFmtId="174" fontId="1" fillId="0" borderId="1" xfId="0" applyNumberFormat="1" applyFont="1" applyBorder="1"/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10" fillId="7" borderId="0" xfId="0" applyFont="1" applyFill="1" applyAlignment="1">
      <alignment horizontal="center"/>
    </xf>
    <xf numFmtId="0" fontId="0" fillId="7" borderId="0" xfId="0" applyFill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174" fontId="11" fillId="8" borderId="0" xfId="0" applyNumberFormat="1" applyFont="1" applyFill="1" applyAlignment="1">
      <alignment horizontal="center" vertical="center"/>
    </xf>
    <xf numFmtId="0" fontId="0" fillId="8" borderId="0" xfId="0" applyFill="1"/>
    <xf numFmtId="3" fontId="11" fillId="8" borderId="0" xfId="0" applyNumberFormat="1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C6E0B4"/>
          <bgColor rgb="FFC6E0B4"/>
        </patternFill>
      </fill>
    </dxf>
    <dxf>
      <font>
        <b/>
        <color rgb="FF375623"/>
        <name val="Arial"/>
      </font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IN"/>
              <a:t>Quantity vs Total_Amount (with linear trendline)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Transactions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'Raw Data'!$H$2:$H$251</c:f>
              <c:numCache>
                <c:formatCode>General</c:formatCode>
                <c:ptCount val="25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5</c:v>
                </c:pt>
                <c:pt idx="30">
                  <c:v>4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5</c:v>
                </c:pt>
                <c:pt idx="38">
                  <c:v>3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5</c:v>
                </c:pt>
                <c:pt idx="43">
                  <c:v>1</c:v>
                </c:pt>
                <c:pt idx="44">
                  <c:v>5</c:v>
                </c:pt>
                <c:pt idx="45">
                  <c:v>2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2</c:v>
                </c:pt>
                <c:pt idx="50">
                  <c:v>5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2</c:v>
                </c:pt>
                <c:pt idx="55">
                  <c:v>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5</c:v>
                </c:pt>
                <c:pt idx="63">
                  <c:v>1</c:v>
                </c:pt>
                <c:pt idx="64">
                  <c:v>2</c:v>
                </c:pt>
                <c:pt idx="65">
                  <c:v>5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1</c:v>
                </c:pt>
                <c:pt idx="74">
                  <c:v>5</c:v>
                </c:pt>
                <c:pt idx="75">
                  <c:v>2</c:v>
                </c:pt>
                <c:pt idx="76">
                  <c:v>4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5</c:v>
                </c:pt>
                <c:pt idx="87">
                  <c:v>4</c:v>
                </c:pt>
                <c:pt idx="88">
                  <c:v>5</c:v>
                </c:pt>
                <c:pt idx="89">
                  <c:v>3</c:v>
                </c:pt>
                <c:pt idx="90">
                  <c:v>4</c:v>
                </c:pt>
                <c:pt idx="91">
                  <c:v>5</c:v>
                </c:pt>
                <c:pt idx="92">
                  <c:v>2</c:v>
                </c:pt>
                <c:pt idx="93">
                  <c:v>3</c:v>
                </c:pt>
                <c:pt idx="94">
                  <c:v>5</c:v>
                </c:pt>
                <c:pt idx="95">
                  <c:v>5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1</c:v>
                </c:pt>
                <c:pt idx="108">
                  <c:v>3</c:v>
                </c:pt>
                <c:pt idx="109">
                  <c:v>2</c:v>
                </c:pt>
                <c:pt idx="110">
                  <c:v>4</c:v>
                </c:pt>
                <c:pt idx="111">
                  <c:v>4</c:v>
                </c:pt>
                <c:pt idx="112">
                  <c:v>2</c:v>
                </c:pt>
                <c:pt idx="113">
                  <c:v>5</c:v>
                </c:pt>
                <c:pt idx="114">
                  <c:v>1</c:v>
                </c:pt>
                <c:pt idx="115">
                  <c:v>4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1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4</c:v>
                </c:pt>
                <c:pt idx="128">
                  <c:v>5</c:v>
                </c:pt>
                <c:pt idx="129">
                  <c:v>1</c:v>
                </c:pt>
                <c:pt idx="130">
                  <c:v>2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5</c:v>
                </c:pt>
                <c:pt idx="135">
                  <c:v>3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</c:v>
                </c:pt>
                <c:pt idx="141">
                  <c:v>3</c:v>
                </c:pt>
                <c:pt idx="142">
                  <c:v>4</c:v>
                </c:pt>
                <c:pt idx="143">
                  <c:v>5</c:v>
                </c:pt>
                <c:pt idx="144">
                  <c:v>3</c:v>
                </c:pt>
                <c:pt idx="145">
                  <c:v>5</c:v>
                </c:pt>
                <c:pt idx="146">
                  <c:v>2</c:v>
                </c:pt>
                <c:pt idx="147">
                  <c:v>5</c:v>
                </c:pt>
                <c:pt idx="148">
                  <c:v>4</c:v>
                </c:pt>
                <c:pt idx="149">
                  <c:v>1</c:v>
                </c:pt>
                <c:pt idx="150">
                  <c:v>3</c:v>
                </c:pt>
                <c:pt idx="151">
                  <c:v>5</c:v>
                </c:pt>
                <c:pt idx="152">
                  <c:v>2</c:v>
                </c:pt>
                <c:pt idx="153">
                  <c:v>3</c:v>
                </c:pt>
                <c:pt idx="154">
                  <c:v>5</c:v>
                </c:pt>
                <c:pt idx="155">
                  <c:v>2</c:v>
                </c:pt>
                <c:pt idx="156">
                  <c:v>5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5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4</c:v>
                </c:pt>
                <c:pt idx="175">
                  <c:v>5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3</c:v>
                </c:pt>
                <c:pt idx="181">
                  <c:v>5</c:v>
                </c:pt>
                <c:pt idx="182">
                  <c:v>3</c:v>
                </c:pt>
                <c:pt idx="183">
                  <c:v>5</c:v>
                </c:pt>
                <c:pt idx="184">
                  <c:v>5</c:v>
                </c:pt>
                <c:pt idx="185">
                  <c:v>4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4</c:v>
                </c:pt>
                <c:pt idx="191">
                  <c:v>2</c:v>
                </c:pt>
                <c:pt idx="192">
                  <c:v>5</c:v>
                </c:pt>
                <c:pt idx="193">
                  <c:v>3</c:v>
                </c:pt>
                <c:pt idx="194">
                  <c:v>4</c:v>
                </c:pt>
                <c:pt idx="195">
                  <c:v>5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5</c:v>
                </c:pt>
                <c:pt idx="207">
                  <c:v>5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2</c:v>
                </c:pt>
                <c:pt idx="212">
                  <c:v>3</c:v>
                </c:pt>
                <c:pt idx="213">
                  <c:v>5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1</c:v>
                </c:pt>
                <c:pt idx="218">
                  <c:v>1</c:v>
                </c:pt>
                <c:pt idx="219">
                  <c:v>5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4</c:v>
                </c:pt>
                <c:pt idx="224">
                  <c:v>2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2</c:v>
                </c:pt>
                <c:pt idx="229">
                  <c:v>5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2</c:v>
                </c:pt>
                <c:pt idx="234">
                  <c:v>2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5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1</c:v>
                </c:pt>
                <c:pt idx="247">
                  <c:v>3</c:v>
                </c:pt>
                <c:pt idx="248">
                  <c:v>2</c:v>
                </c:pt>
                <c:pt idx="249">
                  <c:v>3</c:v>
                </c:pt>
              </c:numCache>
            </c:numRef>
          </c:xVal>
          <c:yVal>
            <c:numRef>
              <c:f>'Raw Data'!$N$2:$N$251</c:f>
              <c:numCache>
                <c:formatCode>#,##0.00</c:formatCode>
                <c:ptCount val="250"/>
                <c:pt idx="0">
                  <c:v>749.97</c:v>
                </c:pt>
                <c:pt idx="1">
                  <c:v>749.97</c:v>
                </c:pt>
                <c:pt idx="2">
                  <c:v>179.97</c:v>
                </c:pt>
                <c:pt idx="3">
                  <c:v>179.97</c:v>
                </c:pt>
                <c:pt idx="4">
                  <c:v>749.95</c:v>
                </c:pt>
                <c:pt idx="5">
                  <c:v>119.98</c:v>
                </c:pt>
                <c:pt idx="6">
                  <c:v>749.95</c:v>
                </c:pt>
                <c:pt idx="7">
                  <c:v>179.97</c:v>
                </c:pt>
                <c:pt idx="8">
                  <c:v>2699.97</c:v>
                </c:pt>
                <c:pt idx="9">
                  <c:v>149.99</c:v>
                </c:pt>
                <c:pt idx="10">
                  <c:v>179.97</c:v>
                </c:pt>
                <c:pt idx="11">
                  <c:v>749.95</c:v>
                </c:pt>
                <c:pt idx="12">
                  <c:v>449.97</c:v>
                </c:pt>
                <c:pt idx="13">
                  <c:v>179.97</c:v>
                </c:pt>
                <c:pt idx="14">
                  <c:v>2099.9699999999998</c:v>
                </c:pt>
                <c:pt idx="15">
                  <c:v>899.99</c:v>
                </c:pt>
                <c:pt idx="16">
                  <c:v>599.96</c:v>
                </c:pt>
                <c:pt idx="17">
                  <c:v>3599.96</c:v>
                </c:pt>
                <c:pt idx="18">
                  <c:v>1399.98</c:v>
                </c:pt>
                <c:pt idx="19">
                  <c:v>749.97</c:v>
                </c:pt>
                <c:pt idx="20">
                  <c:v>3499.95</c:v>
                </c:pt>
                <c:pt idx="21">
                  <c:v>2799.96</c:v>
                </c:pt>
                <c:pt idx="22">
                  <c:v>999.96</c:v>
                </c:pt>
                <c:pt idx="23">
                  <c:v>1199.96</c:v>
                </c:pt>
                <c:pt idx="24">
                  <c:v>1249.95</c:v>
                </c:pt>
                <c:pt idx="25">
                  <c:v>449.95</c:v>
                </c:pt>
                <c:pt idx="26">
                  <c:v>1499.95</c:v>
                </c:pt>
                <c:pt idx="27">
                  <c:v>239.97</c:v>
                </c:pt>
                <c:pt idx="28">
                  <c:v>119.98</c:v>
                </c:pt>
                <c:pt idx="29">
                  <c:v>999.95</c:v>
                </c:pt>
                <c:pt idx="30">
                  <c:v>239.96</c:v>
                </c:pt>
                <c:pt idx="31">
                  <c:v>299.98</c:v>
                </c:pt>
                <c:pt idx="32">
                  <c:v>449.97</c:v>
                </c:pt>
                <c:pt idx="33">
                  <c:v>899.99</c:v>
                </c:pt>
                <c:pt idx="34">
                  <c:v>899.97</c:v>
                </c:pt>
                <c:pt idx="35">
                  <c:v>239.97</c:v>
                </c:pt>
                <c:pt idx="36">
                  <c:v>599.97</c:v>
                </c:pt>
                <c:pt idx="37">
                  <c:v>3499.95</c:v>
                </c:pt>
                <c:pt idx="38">
                  <c:v>269.97000000000003</c:v>
                </c:pt>
                <c:pt idx="39">
                  <c:v>79.989999999999995</c:v>
                </c:pt>
                <c:pt idx="40">
                  <c:v>89.99</c:v>
                </c:pt>
                <c:pt idx="41">
                  <c:v>119.98</c:v>
                </c:pt>
                <c:pt idx="42">
                  <c:v>449.95</c:v>
                </c:pt>
                <c:pt idx="43">
                  <c:v>89.99</c:v>
                </c:pt>
                <c:pt idx="44">
                  <c:v>1249.95</c:v>
                </c:pt>
                <c:pt idx="45">
                  <c:v>299.98</c:v>
                </c:pt>
                <c:pt idx="46">
                  <c:v>239.96</c:v>
                </c:pt>
                <c:pt idx="47">
                  <c:v>449.95</c:v>
                </c:pt>
                <c:pt idx="48">
                  <c:v>4499.95</c:v>
                </c:pt>
                <c:pt idx="49">
                  <c:v>179.98</c:v>
                </c:pt>
                <c:pt idx="50">
                  <c:v>4499.95</c:v>
                </c:pt>
                <c:pt idx="51">
                  <c:v>59.99</c:v>
                </c:pt>
                <c:pt idx="52">
                  <c:v>599.98</c:v>
                </c:pt>
                <c:pt idx="53">
                  <c:v>359.96</c:v>
                </c:pt>
                <c:pt idx="54">
                  <c:v>179.98</c:v>
                </c:pt>
                <c:pt idx="55">
                  <c:v>79.989999999999995</c:v>
                </c:pt>
                <c:pt idx="56">
                  <c:v>3599.96</c:v>
                </c:pt>
                <c:pt idx="57">
                  <c:v>2099.9699999999998</c:v>
                </c:pt>
                <c:pt idx="58">
                  <c:v>149.99</c:v>
                </c:pt>
                <c:pt idx="59">
                  <c:v>179.98</c:v>
                </c:pt>
                <c:pt idx="60">
                  <c:v>89.99</c:v>
                </c:pt>
                <c:pt idx="61">
                  <c:v>89.99</c:v>
                </c:pt>
                <c:pt idx="62">
                  <c:v>399.95</c:v>
                </c:pt>
                <c:pt idx="63">
                  <c:v>149.99</c:v>
                </c:pt>
                <c:pt idx="64">
                  <c:v>1399.98</c:v>
                </c:pt>
                <c:pt idx="65">
                  <c:v>449.95</c:v>
                </c:pt>
                <c:pt idx="66">
                  <c:v>239.96</c:v>
                </c:pt>
                <c:pt idx="67">
                  <c:v>149.99</c:v>
                </c:pt>
                <c:pt idx="68">
                  <c:v>299.99</c:v>
                </c:pt>
                <c:pt idx="69">
                  <c:v>399.98</c:v>
                </c:pt>
                <c:pt idx="70">
                  <c:v>179.97</c:v>
                </c:pt>
                <c:pt idx="71">
                  <c:v>449.97</c:v>
                </c:pt>
                <c:pt idx="72">
                  <c:v>599.97</c:v>
                </c:pt>
                <c:pt idx="73">
                  <c:v>899.99</c:v>
                </c:pt>
                <c:pt idx="74">
                  <c:v>4499.95</c:v>
                </c:pt>
                <c:pt idx="75">
                  <c:v>119.98</c:v>
                </c:pt>
                <c:pt idx="76">
                  <c:v>999.96</c:v>
                </c:pt>
                <c:pt idx="77">
                  <c:v>499.98</c:v>
                </c:pt>
                <c:pt idx="78">
                  <c:v>299.99</c:v>
                </c:pt>
                <c:pt idx="79">
                  <c:v>899.97</c:v>
                </c:pt>
                <c:pt idx="80">
                  <c:v>179.98</c:v>
                </c:pt>
                <c:pt idx="81">
                  <c:v>1399.98</c:v>
                </c:pt>
                <c:pt idx="82">
                  <c:v>3599.96</c:v>
                </c:pt>
                <c:pt idx="83">
                  <c:v>299.98</c:v>
                </c:pt>
                <c:pt idx="84">
                  <c:v>299.98</c:v>
                </c:pt>
                <c:pt idx="85">
                  <c:v>89.99</c:v>
                </c:pt>
                <c:pt idx="86">
                  <c:v>1499.95</c:v>
                </c:pt>
                <c:pt idx="87">
                  <c:v>599.96</c:v>
                </c:pt>
                <c:pt idx="88">
                  <c:v>1249.95</c:v>
                </c:pt>
                <c:pt idx="89">
                  <c:v>749.97</c:v>
                </c:pt>
                <c:pt idx="90">
                  <c:v>799.96</c:v>
                </c:pt>
                <c:pt idx="91">
                  <c:v>999.95</c:v>
                </c:pt>
                <c:pt idx="92">
                  <c:v>179.98</c:v>
                </c:pt>
                <c:pt idx="93">
                  <c:v>449.97</c:v>
                </c:pt>
                <c:pt idx="94">
                  <c:v>4499.95</c:v>
                </c:pt>
                <c:pt idx="95">
                  <c:v>749.95</c:v>
                </c:pt>
                <c:pt idx="96">
                  <c:v>239.97</c:v>
                </c:pt>
                <c:pt idx="97">
                  <c:v>499.98</c:v>
                </c:pt>
                <c:pt idx="98">
                  <c:v>699.99</c:v>
                </c:pt>
                <c:pt idx="99">
                  <c:v>449.97</c:v>
                </c:pt>
                <c:pt idx="100">
                  <c:v>1399.98</c:v>
                </c:pt>
                <c:pt idx="101">
                  <c:v>249.99</c:v>
                </c:pt>
                <c:pt idx="102">
                  <c:v>249.99</c:v>
                </c:pt>
                <c:pt idx="103">
                  <c:v>1399.98</c:v>
                </c:pt>
                <c:pt idx="104">
                  <c:v>179.97</c:v>
                </c:pt>
                <c:pt idx="105">
                  <c:v>319.95999999999998</c:v>
                </c:pt>
                <c:pt idx="106">
                  <c:v>179.97</c:v>
                </c:pt>
                <c:pt idx="107">
                  <c:v>79.989999999999995</c:v>
                </c:pt>
                <c:pt idx="108">
                  <c:v>899.97</c:v>
                </c:pt>
                <c:pt idx="109">
                  <c:v>179.98</c:v>
                </c:pt>
                <c:pt idx="110">
                  <c:v>599.96</c:v>
                </c:pt>
                <c:pt idx="111">
                  <c:v>799.96</c:v>
                </c:pt>
                <c:pt idx="112">
                  <c:v>499.98</c:v>
                </c:pt>
                <c:pt idx="113">
                  <c:v>449.95</c:v>
                </c:pt>
                <c:pt idx="114">
                  <c:v>149.99</c:v>
                </c:pt>
                <c:pt idx="115">
                  <c:v>2799.96</c:v>
                </c:pt>
                <c:pt idx="116">
                  <c:v>2699.97</c:v>
                </c:pt>
                <c:pt idx="117">
                  <c:v>449.97</c:v>
                </c:pt>
                <c:pt idx="118">
                  <c:v>599.98</c:v>
                </c:pt>
                <c:pt idx="119">
                  <c:v>199.99</c:v>
                </c:pt>
                <c:pt idx="120">
                  <c:v>1199.96</c:v>
                </c:pt>
                <c:pt idx="121">
                  <c:v>119.98</c:v>
                </c:pt>
                <c:pt idx="122">
                  <c:v>599.96</c:v>
                </c:pt>
                <c:pt idx="123">
                  <c:v>1399.98</c:v>
                </c:pt>
                <c:pt idx="124">
                  <c:v>449.97</c:v>
                </c:pt>
                <c:pt idx="125">
                  <c:v>899.97</c:v>
                </c:pt>
                <c:pt idx="126">
                  <c:v>2699.97</c:v>
                </c:pt>
                <c:pt idx="127">
                  <c:v>2799.96</c:v>
                </c:pt>
                <c:pt idx="128">
                  <c:v>3499.95</c:v>
                </c:pt>
                <c:pt idx="129">
                  <c:v>899.99</c:v>
                </c:pt>
                <c:pt idx="130">
                  <c:v>299.98</c:v>
                </c:pt>
                <c:pt idx="131">
                  <c:v>269.97000000000003</c:v>
                </c:pt>
                <c:pt idx="132">
                  <c:v>1399.98</c:v>
                </c:pt>
                <c:pt idx="133">
                  <c:v>299.98</c:v>
                </c:pt>
                <c:pt idx="134">
                  <c:v>3499.95</c:v>
                </c:pt>
                <c:pt idx="135">
                  <c:v>269.97000000000003</c:v>
                </c:pt>
                <c:pt idx="136">
                  <c:v>1249.95</c:v>
                </c:pt>
                <c:pt idx="137">
                  <c:v>899.97</c:v>
                </c:pt>
                <c:pt idx="138">
                  <c:v>269.97000000000003</c:v>
                </c:pt>
                <c:pt idx="139">
                  <c:v>299.98</c:v>
                </c:pt>
                <c:pt idx="140">
                  <c:v>249.99</c:v>
                </c:pt>
                <c:pt idx="141">
                  <c:v>449.97</c:v>
                </c:pt>
                <c:pt idx="142">
                  <c:v>999.96</c:v>
                </c:pt>
                <c:pt idx="143">
                  <c:v>299.95</c:v>
                </c:pt>
                <c:pt idx="144">
                  <c:v>179.97</c:v>
                </c:pt>
                <c:pt idx="145">
                  <c:v>749.95</c:v>
                </c:pt>
                <c:pt idx="146">
                  <c:v>1399.98</c:v>
                </c:pt>
                <c:pt idx="147">
                  <c:v>749.95</c:v>
                </c:pt>
                <c:pt idx="148">
                  <c:v>799.96</c:v>
                </c:pt>
                <c:pt idx="149">
                  <c:v>59.99</c:v>
                </c:pt>
                <c:pt idx="150">
                  <c:v>2099.9699999999998</c:v>
                </c:pt>
                <c:pt idx="151">
                  <c:v>1249.95</c:v>
                </c:pt>
                <c:pt idx="152">
                  <c:v>299.98</c:v>
                </c:pt>
                <c:pt idx="153">
                  <c:v>899.97</c:v>
                </c:pt>
                <c:pt idx="154">
                  <c:v>1249.95</c:v>
                </c:pt>
                <c:pt idx="155">
                  <c:v>299.98</c:v>
                </c:pt>
                <c:pt idx="156">
                  <c:v>3499.95</c:v>
                </c:pt>
                <c:pt idx="157">
                  <c:v>999.96</c:v>
                </c:pt>
                <c:pt idx="158">
                  <c:v>2799.96</c:v>
                </c:pt>
                <c:pt idx="159">
                  <c:v>319.95999999999998</c:v>
                </c:pt>
                <c:pt idx="160">
                  <c:v>179.97</c:v>
                </c:pt>
                <c:pt idx="161">
                  <c:v>499.98</c:v>
                </c:pt>
                <c:pt idx="162">
                  <c:v>239.97</c:v>
                </c:pt>
                <c:pt idx="163">
                  <c:v>1799.98</c:v>
                </c:pt>
                <c:pt idx="164">
                  <c:v>149.99</c:v>
                </c:pt>
                <c:pt idx="165">
                  <c:v>599.98</c:v>
                </c:pt>
                <c:pt idx="166">
                  <c:v>119.98</c:v>
                </c:pt>
                <c:pt idx="167">
                  <c:v>4499.95</c:v>
                </c:pt>
                <c:pt idx="168">
                  <c:v>89.99</c:v>
                </c:pt>
                <c:pt idx="169">
                  <c:v>299.98</c:v>
                </c:pt>
                <c:pt idx="170">
                  <c:v>449.97</c:v>
                </c:pt>
                <c:pt idx="171">
                  <c:v>299.98</c:v>
                </c:pt>
                <c:pt idx="172">
                  <c:v>599.98</c:v>
                </c:pt>
                <c:pt idx="173">
                  <c:v>599.98</c:v>
                </c:pt>
                <c:pt idx="174">
                  <c:v>799.96</c:v>
                </c:pt>
                <c:pt idx="175">
                  <c:v>749.95</c:v>
                </c:pt>
                <c:pt idx="176">
                  <c:v>89.99</c:v>
                </c:pt>
                <c:pt idx="177">
                  <c:v>899.99</c:v>
                </c:pt>
                <c:pt idx="178">
                  <c:v>179.98</c:v>
                </c:pt>
                <c:pt idx="179">
                  <c:v>899.99</c:v>
                </c:pt>
                <c:pt idx="180">
                  <c:v>899.97</c:v>
                </c:pt>
                <c:pt idx="181">
                  <c:v>749.95</c:v>
                </c:pt>
                <c:pt idx="182">
                  <c:v>2099.9699999999998</c:v>
                </c:pt>
                <c:pt idx="183">
                  <c:v>999.95</c:v>
                </c:pt>
                <c:pt idx="184">
                  <c:v>1249.95</c:v>
                </c:pt>
                <c:pt idx="185">
                  <c:v>599.96</c:v>
                </c:pt>
                <c:pt idx="186">
                  <c:v>2099.9699999999998</c:v>
                </c:pt>
                <c:pt idx="187">
                  <c:v>299.99</c:v>
                </c:pt>
                <c:pt idx="188">
                  <c:v>79.989999999999995</c:v>
                </c:pt>
                <c:pt idx="189">
                  <c:v>899.97</c:v>
                </c:pt>
                <c:pt idx="190">
                  <c:v>999.96</c:v>
                </c:pt>
                <c:pt idx="191">
                  <c:v>299.98</c:v>
                </c:pt>
                <c:pt idx="192">
                  <c:v>1499.95</c:v>
                </c:pt>
                <c:pt idx="193">
                  <c:v>449.97</c:v>
                </c:pt>
                <c:pt idx="194">
                  <c:v>799.96</c:v>
                </c:pt>
                <c:pt idx="195">
                  <c:v>299.95</c:v>
                </c:pt>
                <c:pt idx="196">
                  <c:v>239.96</c:v>
                </c:pt>
                <c:pt idx="197">
                  <c:v>999.96</c:v>
                </c:pt>
                <c:pt idx="198">
                  <c:v>3599.96</c:v>
                </c:pt>
                <c:pt idx="199">
                  <c:v>899.97</c:v>
                </c:pt>
                <c:pt idx="200">
                  <c:v>1399.98</c:v>
                </c:pt>
                <c:pt idx="201">
                  <c:v>2799.96</c:v>
                </c:pt>
                <c:pt idx="202">
                  <c:v>179.98</c:v>
                </c:pt>
                <c:pt idx="203">
                  <c:v>269.97000000000003</c:v>
                </c:pt>
                <c:pt idx="204">
                  <c:v>59.99</c:v>
                </c:pt>
                <c:pt idx="205">
                  <c:v>449.97</c:v>
                </c:pt>
                <c:pt idx="206">
                  <c:v>1499.95</c:v>
                </c:pt>
                <c:pt idx="207">
                  <c:v>299.95</c:v>
                </c:pt>
                <c:pt idx="208">
                  <c:v>239.97</c:v>
                </c:pt>
                <c:pt idx="209">
                  <c:v>599.97</c:v>
                </c:pt>
                <c:pt idx="210">
                  <c:v>179.98</c:v>
                </c:pt>
                <c:pt idx="211">
                  <c:v>299.98</c:v>
                </c:pt>
                <c:pt idx="212">
                  <c:v>449.97</c:v>
                </c:pt>
                <c:pt idx="213">
                  <c:v>3499.95</c:v>
                </c:pt>
                <c:pt idx="214">
                  <c:v>2699.97</c:v>
                </c:pt>
                <c:pt idx="215">
                  <c:v>599.97</c:v>
                </c:pt>
                <c:pt idx="216">
                  <c:v>1499.95</c:v>
                </c:pt>
                <c:pt idx="217">
                  <c:v>699.99</c:v>
                </c:pt>
                <c:pt idx="218">
                  <c:v>699.99</c:v>
                </c:pt>
                <c:pt idx="219">
                  <c:v>449.95</c:v>
                </c:pt>
                <c:pt idx="220">
                  <c:v>599.96</c:v>
                </c:pt>
                <c:pt idx="221">
                  <c:v>399.98</c:v>
                </c:pt>
                <c:pt idx="222">
                  <c:v>599.98</c:v>
                </c:pt>
                <c:pt idx="223">
                  <c:v>239.96</c:v>
                </c:pt>
                <c:pt idx="224">
                  <c:v>299.98</c:v>
                </c:pt>
                <c:pt idx="225">
                  <c:v>3499.95</c:v>
                </c:pt>
                <c:pt idx="226">
                  <c:v>299.95</c:v>
                </c:pt>
                <c:pt idx="227">
                  <c:v>1249.95</c:v>
                </c:pt>
                <c:pt idx="228">
                  <c:v>179.98</c:v>
                </c:pt>
                <c:pt idx="229">
                  <c:v>4499.95</c:v>
                </c:pt>
                <c:pt idx="230">
                  <c:v>299.98</c:v>
                </c:pt>
                <c:pt idx="231">
                  <c:v>599.96</c:v>
                </c:pt>
                <c:pt idx="232">
                  <c:v>249.99</c:v>
                </c:pt>
                <c:pt idx="233">
                  <c:v>119.98</c:v>
                </c:pt>
                <c:pt idx="234">
                  <c:v>299.98</c:v>
                </c:pt>
                <c:pt idx="235">
                  <c:v>2699.97</c:v>
                </c:pt>
                <c:pt idx="236">
                  <c:v>2699.97</c:v>
                </c:pt>
                <c:pt idx="237">
                  <c:v>899.97</c:v>
                </c:pt>
                <c:pt idx="238">
                  <c:v>599.96</c:v>
                </c:pt>
                <c:pt idx="239">
                  <c:v>319.95999999999998</c:v>
                </c:pt>
                <c:pt idx="240">
                  <c:v>449.95</c:v>
                </c:pt>
                <c:pt idx="241">
                  <c:v>449.97</c:v>
                </c:pt>
                <c:pt idx="242">
                  <c:v>179.98</c:v>
                </c:pt>
                <c:pt idx="243">
                  <c:v>1399.98</c:v>
                </c:pt>
                <c:pt idx="244">
                  <c:v>2699.97</c:v>
                </c:pt>
                <c:pt idx="245">
                  <c:v>239.97</c:v>
                </c:pt>
                <c:pt idx="246">
                  <c:v>89.99</c:v>
                </c:pt>
                <c:pt idx="247">
                  <c:v>269.97000000000003</c:v>
                </c:pt>
                <c:pt idx="248">
                  <c:v>179.98</c:v>
                </c:pt>
                <c:pt idx="249">
                  <c:v>2099.9699999999998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F8-491E-8E0B-DD3F96CE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Quantity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Total_Amount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Analysis!$B$13:$B$17</c:f>
              <c:numCache>
                <c:formatCode>\$#,##0.00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7-4DFE-B5F4-A33231543904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Analysis!$A$22:$A$24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Analysis!$B$22:$B$24</c:f>
              <c:numCache>
                <c:formatCode>\$#,##0.00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C-47E4-B066-B0899DB187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Analysis!$F$43:$F$55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Analysis!$B$43:$B$55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15759.429999999998</c:v>
                </c:pt>
                <c:pt idx="5">
                  <c:v>12989.509999999998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25799.149999999998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2-443E-BA9B-8AAFF208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Customers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Analysis'!$B$63:$B$72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'Customer Analysis'!$C$63:$C$72</c:f>
              <c:numCache>
                <c:formatCode>\$#,##0.00</c:formatCode>
                <c:ptCount val="10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7-4D0F-9DF2-177ECC20E7C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Units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Analysis!$B$29:$B$38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Headphones</c:v>
                </c:pt>
                <c:pt idx="3">
                  <c:v>Coffee Maker</c:v>
                </c:pt>
                <c:pt idx="4">
                  <c:v>Blender</c:v>
                </c:pt>
                <c:pt idx="5">
                  <c:v>Office Chair</c:v>
                </c:pt>
                <c:pt idx="6">
                  <c:v>Desk</c:v>
                </c:pt>
                <c:pt idx="7">
                  <c:v>Bookshelf</c:v>
                </c:pt>
                <c:pt idx="8">
                  <c:v>Monitor</c:v>
                </c:pt>
                <c:pt idx="9">
                  <c:v>Keyboard</c:v>
                </c:pt>
              </c:strCache>
            </c:strRef>
          </c:cat>
          <c:val>
            <c:numRef>
              <c:f>Analysis!$F$29:$F$38</c:f>
              <c:numCache>
                <c:formatCode>#,##0</c:formatCode>
                <c:ptCount val="10"/>
                <c:pt idx="0">
                  <c:v>75</c:v>
                </c:pt>
                <c:pt idx="1">
                  <c:v>96</c:v>
                </c:pt>
                <c:pt idx="2">
                  <c:v>47</c:v>
                </c:pt>
                <c:pt idx="3">
                  <c:v>39</c:v>
                </c:pt>
                <c:pt idx="4">
                  <c:v>87</c:v>
                </c:pt>
                <c:pt idx="5">
                  <c:v>52</c:v>
                </c:pt>
                <c:pt idx="6">
                  <c:v>78</c:v>
                </c:pt>
                <c:pt idx="7">
                  <c:v>102</c:v>
                </c:pt>
                <c:pt idx="8">
                  <c:v>88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A-4240-A829-D6284CCBF8AB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Payment Method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Analysis!$A$60:$A$63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Analysis!$B$60:$B$63</c:f>
              <c:numCache>
                <c:formatCode>\$#,##0.00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AF-4DBA-B63D-203E516D850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Customer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Analysis!$A$68:$A$70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Analysis!$B$68:$B$70</c:f>
              <c:numCache>
                <c:formatCode>\$#,##0.00</c:formatCode>
                <c:ptCount val="3"/>
                <c:pt idx="0">
                  <c:v>62177.810000000019</c:v>
                </c:pt>
                <c:pt idx="1">
                  <c:v>84657.12000000001</c:v>
                </c:pt>
                <c:pt idx="2">
                  <c:v>82357.540000000037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F-4997-8BAA-55FC6D4C6613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Orders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Analysis!$C$13:$C$17</c:f>
              <c:numCache>
                <c:formatCode>#,##0</c:formatCode>
                <c:ptCount val="5"/>
                <c:pt idx="0">
                  <c:v>54</c:v>
                </c:pt>
                <c:pt idx="1">
                  <c:v>48</c:v>
                </c:pt>
                <c:pt idx="2">
                  <c:v>59</c:v>
                </c:pt>
                <c:pt idx="3">
                  <c:v>42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4-4A39-8D2C-DB8481C6CEB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Analysis!$A$13:$A$17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Analysis!$B$13:$B$17</c:f>
              <c:numCache>
                <c:formatCode>\$#,##0.00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1-4188-97F4-754A2341D0D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Share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Analysis!$A$22:$A$24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Analysis!$B$22:$B$24</c:f>
              <c:numCache>
                <c:formatCode>\$#,##0.00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B-4CD6-B16F-52A235CD07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Analysis!$F$43:$F$55</c:f>
              <c:strCache>
                <c:ptCount val="13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  <c:pt idx="12">
                  <c:v>Apr-25</c:v>
                </c:pt>
              </c:strCache>
            </c:strRef>
          </c:cat>
          <c:val>
            <c:numRef>
              <c:f>Analysis!$B$43:$B$55</c:f>
              <c:numCache>
                <c:formatCode>\$#,##0.00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15759.429999999998</c:v>
                </c:pt>
                <c:pt idx="5">
                  <c:v>12989.509999999998</c:v>
                </c:pt>
                <c:pt idx="6">
                  <c:v>20609.52</c:v>
                </c:pt>
                <c:pt idx="7">
                  <c:v>12309.44</c:v>
                </c:pt>
                <c:pt idx="8">
                  <c:v>23039.3</c:v>
                </c:pt>
                <c:pt idx="9">
                  <c:v>25799.149999999998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A-4340-B774-F23B6F2DD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5 Customers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Analysis'!$B$63:$B$67</c:f>
              <c:strCache>
                <c:ptCount val="5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</c:strCache>
            </c:strRef>
          </c:cat>
          <c:val>
            <c:numRef>
              <c:f>'Customer Analysis'!$C$63:$C$67</c:f>
              <c:numCache>
                <c:formatCode>\$#,##0.00</c:formatCode>
                <c:ptCount val="5"/>
                <c:pt idx="0">
                  <c:v>15659.65</c:v>
                </c:pt>
                <c:pt idx="1">
                  <c:v>11919.769999999999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93-45B3-8274-671B3806720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580000" cy="280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3</xdr:row>
      <xdr:rowOff>0</xdr:rowOff>
    </xdr:from>
    <xdr:ext cx="5580000" cy="280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580000" cy="280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20</xdr:row>
      <xdr:rowOff>0</xdr:rowOff>
    </xdr:from>
    <xdr:ext cx="5580000" cy="280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5580000" cy="280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37</xdr:row>
      <xdr:rowOff>0</xdr:rowOff>
    </xdr:from>
    <xdr:ext cx="5580000" cy="280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5580000" cy="2808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54</xdr:row>
      <xdr:rowOff>0</xdr:rowOff>
    </xdr:from>
    <xdr:ext cx="5580000" cy="2808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22</xdr:row>
      <xdr:rowOff>0</xdr:rowOff>
    </xdr:from>
    <xdr:ext cx="52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22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522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12" customWidth="1"/>
    <col min="4" max="4" width="18" customWidth="1"/>
    <col min="5" max="5" width="11" customWidth="1"/>
    <col min="6" max="6" width="14" customWidth="1"/>
    <col min="7" max="7" width="12" customWidth="1"/>
    <col min="8" max="8" width="9" customWidth="1"/>
    <col min="9" max="9" width="10" customWidth="1"/>
    <col min="10" max="10" width="14" customWidth="1"/>
    <col min="11" max="11" width="10" customWidth="1"/>
    <col min="12" max="12" width="16" customWidth="1"/>
    <col min="13" max="14" width="13" customWidth="1"/>
    <col min="15" max="16" width="12" customWidth="1"/>
    <col min="17" max="17" width="10" customWidth="1"/>
    <col min="18" max="18" width="14" customWidth="1"/>
    <col min="19" max="19" width="12" customWidth="1"/>
    <col min="20" max="20" width="13" customWidth="1"/>
    <col min="21" max="21" width="11" customWidth="1"/>
  </cols>
  <sheetData>
    <row r="1" spans="1:21" ht="30" customHeight="1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</row>
    <row r="2" spans="1:21" x14ac:dyDescent="0.35">
      <c r="A2" s="3" t="s">
        <v>21</v>
      </c>
      <c r="B2" s="4">
        <v>45393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3</v>
      </c>
      <c r="I2" s="5">
        <v>249.99</v>
      </c>
      <c r="J2" s="3" t="s">
        <v>27</v>
      </c>
      <c r="K2" s="3" t="s">
        <v>28</v>
      </c>
      <c r="L2" s="3" t="s">
        <v>29</v>
      </c>
      <c r="M2" s="4">
        <v>44425</v>
      </c>
      <c r="N2" s="5">
        <v>749.97</v>
      </c>
      <c r="O2" s="6">
        <f t="shared" ref="O2:O65" si="0">EOMONTH(B2,-1)+1</f>
        <v>45383</v>
      </c>
      <c r="P2" s="4">
        <f t="shared" ref="P2:P65" si="1">EOMONTH(B2,0)</f>
        <v>45412</v>
      </c>
      <c r="Q2" s="3">
        <f t="shared" ref="Q2:Q65" si="2">IFERROR(DATEDIF(M2,B2,"Y"),0)</f>
        <v>2</v>
      </c>
      <c r="R2" s="7">
        <f t="shared" ref="R2:R65" ca="1" si="3">TODAY()-B2</f>
        <v>931</v>
      </c>
      <c r="S2" s="3">
        <f t="shared" ref="S2:S65" si="4">COUNTIF($D$2:$D$251,D2)</f>
        <v>8</v>
      </c>
      <c r="T2" s="3" t="str">
        <f>IF(COUNTIF($D$2:D2,D2)=1,"First","Repeat")</f>
        <v>First</v>
      </c>
      <c r="U2" s="3" t="str">
        <f>IF(AND($K2=DateTime_Filter!$C$21,$N2&gt;=DateTime_Filter!$C$22),MAX(U$1:U1)+1,"")</f>
        <v/>
      </c>
    </row>
    <row r="3" spans="1:21" x14ac:dyDescent="0.35">
      <c r="A3" s="3" t="s">
        <v>30</v>
      </c>
      <c r="B3" s="4">
        <v>45396</v>
      </c>
      <c r="C3" s="3" t="s">
        <v>31</v>
      </c>
      <c r="D3" s="3" t="s">
        <v>32</v>
      </c>
      <c r="E3" s="3" t="s">
        <v>24</v>
      </c>
      <c r="F3" s="3" t="s">
        <v>25</v>
      </c>
      <c r="G3" s="3" t="s">
        <v>26</v>
      </c>
      <c r="H3" s="3">
        <v>3</v>
      </c>
      <c r="I3" s="5">
        <v>249.99</v>
      </c>
      <c r="J3" s="3" t="s">
        <v>33</v>
      </c>
      <c r="K3" s="3" t="s">
        <v>28</v>
      </c>
      <c r="L3" s="3" t="s">
        <v>34</v>
      </c>
      <c r="M3" s="4">
        <v>44575</v>
      </c>
      <c r="N3" s="5">
        <v>749.97</v>
      </c>
      <c r="O3" s="6">
        <f t="shared" si="0"/>
        <v>45383</v>
      </c>
      <c r="P3" s="4">
        <f t="shared" si="1"/>
        <v>45412</v>
      </c>
      <c r="Q3" s="3">
        <f t="shared" si="2"/>
        <v>2</v>
      </c>
      <c r="R3" s="7">
        <f t="shared" ca="1" si="3"/>
        <v>928</v>
      </c>
      <c r="S3" s="3">
        <f t="shared" si="4"/>
        <v>5</v>
      </c>
      <c r="T3" s="3" t="str">
        <f>IF(COUNTIF($D$2:D3,D3)=1,"First","Repeat")</f>
        <v>First</v>
      </c>
      <c r="U3" s="3" t="str">
        <f>IF(AND($K3=DateTime_Filter!$C$21,$N3&gt;=DateTime_Filter!$C$22),MAX(U$1:U2)+1,"")</f>
        <v/>
      </c>
    </row>
    <row r="4" spans="1:21" x14ac:dyDescent="0.35">
      <c r="A4" s="3" t="s">
        <v>35</v>
      </c>
      <c r="B4" s="4">
        <v>45399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>
        <v>3</v>
      </c>
      <c r="I4" s="5">
        <v>59.99</v>
      </c>
      <c r="J4" s="3" t="s">
        <v>41</v>
      </c>
      <c r="K4" s="3" t="s">
        <v>42</v>
      </c>
      <c r="L4" s="3" t="s">
        <v>43</v>
      </c>
      <c r="M4" s="4">
        <v>45262</v>
      </c>
      <c r="N4" s="5">
        <v>179.97</v>
      </c>
      <c r="O4" s="6">
        <f t="shared" si="0"/>
        <v>45383</v>
      </c>
      <c r="P4" s="4">
        <f t="shared" si="1"/>
        <v>45412</v>
      </c>
      <c r="Q4" s="3">
        <f t="shared" si="2"/>
        <v>0</v>
      </c>
      <c r="R4" s="7">
        <f t="shared" ca="1" si="3"/>
        <v>925</v>
      </c>
      <c r="S4" s="3">
        <f t="shared" si="4"/>
        <v>6</v>
      </c>
      <c r="T4" s="3" t="str">
        <f>IF(COUNTIF($D$2:D4,D4)=1,"First","Repeat")</f>
        <v>First</v>
      </c>
      <c r="U4" s="3" t="str">
        <f>IF(AND($K4=DateTime_Filter!$C$21,$N4&gt;=DateTime_Filter!$C$22),MAX(U$1:U3)+1,"")</f>
        <v/>
      </c>
    </row>
    <row r="5" spans="1:21" x14ac:dyDescent="0.35">
      <c r="A5" s="3" t="s">
        <v>44</v>
      </c>
      <c r="B5" s="4">
        <v>45400</v>
      </c>
      <c r="C5" s="3" t="s">
        <v>45</v>
      </c>
      <c r="D5" s="3" t="s">
        <v>46</v>
      </c>
      <c r="E5" s="3" t="s">
        <v>38</v>
      </c>
      <c r="F5" s="3" t="s">
        <v>39</v>
      </c>
      <c r="G5" s="3" t="s">
        <v>40</v>
      </c>
      <c r="H5" s="3">
        <v>3</v>
      </c>
      <c r="I5" s="5">
        <v>59.99</v>
      </c>
      <c r="J5" s="3" t="s">
        <v>27</v>
      </c>
      <c r="K5" s="3" t="s">
        <v>47</v>
      </c>
      <c r="L5" s="3" t="s">
        <v>34</v>
      </c>
      <c r="M5" s="4">
        <v>45114</v>
      </c>
      <c r="N5" s="5">
        <v>179.97</v>
      </c>
      <c r="O5" s="6">
        <f t="shared" si="0"/>
        <v>45383</v>
      </c>
      <c r="P5" s="4">
        <f t="shared" si="1"/>
        <v>45412</v>
      </c>
      <c r="Q5" s="3">
        <f t="shared" si="2"/>
        <v>0</v>
      </c>
      <c r="R5" s="7">
        <f t="shared" ca="1" si="3"/>
        <v>924</v>
      </c>
      <c r="S5" s="3">
        <f t="shared" si="4"/>
        <v>6</v>
      </c>
      <c r="T5" s="3" t="str">
        <f>IF(COUNTIF($D$2:D5,D5)=1,"First","Repeat")</f>
        <v>First</v>
      </c>
      <c r="U5" s="3" t="str">
        <f>IF(AND($K5=DateTime_Filter!$C$21,$N5&gt;=DateTime_Filter!$C$22),MAX(U$1:U4)+1,"")</f>
        <v/>
      </c>
    </row>
    <row r="6" spans="1:21" x14ac:dyDescent="0.35">
      <c r="A6" s="3" t="s">
        <v>48</v>
      </c>
      <c r="B6" s="4">
        <v>45400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>
        <v>5</v>
      </c>
      <c r="I6" s="5">
        <v>149.99</v>
      </c>
      <c r="J6" s="3" t="s">
        <v>33</v>
      </c>
      <c r="K6" s="3" t="s">
        <v>47</v>
      </c>
      <c r="L6" s="3" t="s">
        <v>34</v>
      </c>
      <c r="M6" s="4">
        <v>45295</v>
      </c>
      <c r="N6" s="5">
        <v>749.95</v>
      </c>
      <c r="O6" s="6">
        <f t="shared" si="0"/>
        <v>45383</v>
      </c>
      <c r="P6" s="4">
        <f t="shared" si="1"/>
        <v>45412</v>
      </c>
      <c r="Q6" s="3">
        <f t="shared" si="2"/>
        <v>0</v>
      </c>
      <c r="R6" s="7">
        <f t="shared" ca="1" si="3"/>
        <v>924</v>
      </c>
      <c r="S6" s="3">
        <f t="shared" si="4"/>
        <v>9</v>
      </c>
      <c r="T6" s="3" t="str">
        <f>IF(COUNTIF($D$2:D6,D6)=1,"First","Repeat")</f>
        <v>First</v>
      </c>
      <c r="U6" s="3" t="str">
        <f>IF(AND($K6=DateTime_Filter!$C$21,$N6&gt;=DateTime_Filter!$C$22),MAX(U$1:U5)+1,"")</f>
        <v/>
      </c>
    </row>
    <row r="7" spans="1:21" x14ac:dyDescent="0.35">
      <c r="A7" s="3" t="s">
        <v>54</v>
      </c>
      <c r="B7" s="4">
        <v>45403</v>
      </c>
      <c r="C7" s="3" t="s">
        <v>55</v>
      </c>
      <c r="D7" s="3" t="s">
        <v>56</v>
      </c>
      <c r="E7" s="3" t="s">
        <v>38</v>
      </c>
      <c r="F7" s="3" t="s">
        <v>39</v>
      </c>
      <c r="G7" s="3" t="s">
        <v>40</v>
      </c>
      <c r="H7" s="3">
        <v>2</v>
      </c>
      <c r="I7" s="5">
        <v>59.99</v>
      </c>
      <c r="J7" s="3" t="s">
        <v>27</v>
      </c>
      <c r="K7" s="3" t="s">
        <v>57</v>
      </c>
      <c r="L7" s="3" t="s">
        <v>43</v>
      </c>
      <c r="M7" s="4">
        <v>44746</v>
      </c>
      <c r="N7" s="5">
        <v>119.98</v>
      </c>
      <c r="O7" s="6">
        <f t="shared" si="0"/>
        <v>45383</v>
      </c>
      <c r="P7" s="4">
        <f t="shared" si="1"/>
        <v>45412</v>
      </c>
      <c r="Q7" s="3">
        <f t="shared" si="2"/>
        <v>1</v>
      </c>
      <c r="R7" s="7">
        <f t="shared" ca="1" si="3"/>
        <v>921</v>
      </c>
      <c r="S7" s="3">
        <f t="shared" si="4"/>
        <v>6</v>
      </c>
      <c r="T7" s="3" t="str">
        <f>IF(COUNTIF($D$2:D7,D7)=1,"First","Repeat")</f>
        <v>First</v>
      </c>
      <c r="U7" s="3" t="str">
        <f>IF(AND($K7=DateTime_Filter!$C$21,$N7&gt;=DateTime_Filter!$C$22),MAX(U$1:U6)+1,"")</f>
        <v/>
      </c>
    </row>
    <row r="8" spans="1:21" x14ac:dyDescent="0.35">
      <c r="A8" s="3" t="s">
        <v>58</v>
      </c>
      <c r="B8" s="4">
        <v>45403</v>
      </c>
      <c r="C8" s="3" t="s">
        <v>55</v>
      </c>
      <c r="D8" s="3" t="s">
        <v>56</v>
      </c>
      <c r="E8" s="3" t="s">
        <v>59</v>
      </c>
      <c r="F8" s="3" t="s">
        <v>60</v>
      </c>
      <c r="G8" s="3" t="s">
        <v>26</v>
      </c>
      <c r="H8" s="3">
        <v>5</v>
      </c>
      <c r="I8" s="5">
        <v>149.99</v>
      </c>
      <c r="J8" s="3" t="s">
        <v>33</v>
      </c>
      <c r="K8" s="3" t="s">
        <v>28</v>
      </c>
      <c r="L8" s="3" t="s">
        <v>43</v>
      </c>
      <c r="M8" s="4">
        <v>44418</v>
      </c>
      <c r="N8" s="5">
        <v>749.95</v>
      </c>
      <c r="O8" s="6">
        <f t="shared" si="0"/>
        <v>45383</v>
      </c>
      <c r="P8" s="4">
        <f t="shared" si="1"/>
        <v>45412</v>
      </c>
      <c r="Q8" s="3">
        <f t="shared" si="2"/>
        <v>2</v>
      </c>
      <c r="R8" s="7">
        <f t="shared" ca="1" si="3"/>
        <v>921</v>
      </c>
      <c r="S8" s="3">
        <f t="shared" si="4"/>
        <v>6</v>
      </c>
      <c r="T8" s="3" t="str">
        <f>IF(COUNTIF($D$2:D8,D8)=1,"First","Repeat")</f>
        <v>Repeat</v>
      </c>
      <c r="U8" s="3" t="str">
        <f>IF(AND($K8=DateTime_Filter!$C$21,$N8&gt;=DateTime_Filter!$C$22),MAX(U$1:U7)+1,"")</f>
        <v/>
      </c>
    </row>
    <row r="9" spans="1:21" x14ac:dyDescent="0.35">
      <c r="A9" s="3" t="s">
        <v>61</v>
      </c>
      <c r="B9" s="4">
        <v>45403</v>
      </c>
      <c r="C9" s="3" t="s">
        <v>62</v>
      </c>
      <c r="D9" s="3" t="s">
        <v>63</v>
      </c>
      <c r="E9" s="3" t="s">
        <v>38</v>
      </c>
      <c r="F9" s="3" t="s">
        <v>39</v>
      </c>
      <c r="G9" s="3" t="s">
        <v>40</v>
      </c>
      <c r="H9" s="3">
        <v>3</v>
      </c>
      <c r="I9" s="5">
        <v>59.99</v>
      </c>
      <c r="J9" s="3" t="s">
        <v>64</v>
      </c>
      <c r="K9" s="3" t="s">
        <v>42</v>
      </c>
      <c r="L9" s="3" t="s">
        <v>29</v>
      </c>
      <c r="M9" s="4">
        <v>45007</v>
      </c>
      <c r="N9" s="5">
        <v>179.97</v>
      </c>
      <c r="O9" s="6">
        <f t="shared" si="0"/>
        <v>45383</v>
      </c>
      <c r="P9" s="4">
        <f t="shared" si="1"/>
        <v>45412</v>
      </c>
      <c r="Q9" s="3">
        <f t="shared" si="2"/>
        <v>1</v>
      </c>
      <c r="R9" s="7">
        <f t="shared" ca="1" si="3"/>
        <v>921</v>
      </c>
      <c r="S9" s="3">
        <f t="shared" si="4"/>
        <v>9</v>
      </c>
      <c r="T9" s="3" t="str">
        <f>IF(COUNTIF($D$2:D9,D9)=1,"First","Repeat")</f>
        <v>First</v>
      </c>
      <c r="U9" s="3" t="str">
        <f>IF(AND($K9=DateTime_Filter!$C$21,$N9&gt;=DateTime_Filter!$C$22),MAX(U$1:U8)+1,"")</f>
        <v/>
      </c>
    </row>
    <row r="10" spans="1:21" x14ac:dyDescent="0.35">
      <c r="A10" s="3" t="s">
        <v>65</v>
      </c>
      <c r="B10" s="4">
        <v>45405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26</v>
      </c>
      <c r="H10" s="3">
        <v>3</v>
      </c>
      <c r="I10" s="5">
        <v>899.99</v>
      </c>
      <c r="J10" s="3" t="s">
        <v>41</v>
      </c>
      <c r="K10" s="3" t="s">
        <v>70</v>
      </c>
      <c r="L10" s="3" t="s">
        <v>43</v>
      </c>
      <c r="M10" s="4">
        <v>45299</v>
      </c>
      <c r="N10" s="5">
        <v>2699.97</v>
      </c>
      <c r="O10" s="6">
        <f t="shared" si="0"/>
        <v>45383</v>
      </c>
      <c r="P10" s="4">
        <f t="shared" si="1"/>
        <v>45412</v>
      </c>
      <c r="Q10" s="3">
        <f t="shared" si="2"/>
        <v>0</v>
      </c>
      <c r="R10" s="7">
        <f t="shared" ca="1" si="3"/>
        <v>919</v>
      </c>
      <c r="S10" s="3">
        <f t="shared" si="4"/>
        <v>5</v>
      </c>
      <c r="T10" s="3" t="str">
        <f>IF(COUNTIF($D$2:D10,D10)=1,"First","Repeat")</f>
        <v>First</v>
      </c>
      <c r="U10" s="3" t="str">
        <f>IF(AND($K10=DateTime_Filter!$C$21,$N10&gt;=DateTime_Filter!$C$22),MAX(U$1:U9)+1,"")</f>
        <v/>
      </c>
    </row>
    <row r="11" spans="1:21" x14ac:dyDescent="0.35">
      <c r="A11" s="3" t="s">
        <v>71</v>
      </c>
      <c r="B11" s="4">
        <v>45408</v>
      </c>
      <c r="C11" s="3" t="s">
        <v>72</v>
      </c>
      <c r="D11" s="3" t="s">
        <v>73</v>
      </c>
      <c r="E11" s="3" t="s">
        <v>51</v>
      </c>
      <c r="F11" s="3" t="s">
        <v>52</v>
      </c>
      <c r="G11" s="3" t="s">
        <v>53</v>
      </c>
      <c r="H11" s="3">
        <v>1</v>
      </c>
      <c r="I11" s="5">
        <v>149.99</v>
      </c>
      <c r="J11" s="3" t="s">
        <v>33</v>
      </c>
      <c r="K11" s="3" t="s">
        <v>57</v>
      </c>
      <c r="L11" s="3" t="s">
        <v>43</v>
      </c>
      <c r="M11" s="4">
        <v>45103</v>
      </c>
      <c r="N11" s="5">
        <v>149.99</v>
      </c>
      <c r="O11" s="6">
        <f t="shared" si="0"/>
        <v>45383</v>
      </c>
      <c r="P11" s="4">
        <f t="shared" si="1"/>
        <v>45412</v>
      </c>
      <c r="Q11" s="3">
        <f t="shared" si="2"/>
        <v>0</v>
      </c>
      <c r="R11" s="7">
        <f t="shared" ca="1" si="3"/>
        <v>916</v>
      </c>
      <c r="S11" s="3">
        <f t="shared" si="4"/>
        <v>4</v>
      </c>
      <c r="T11" s="3" t="str">
        <f>IF(COUNTIF($D$2:D11,D11)=1,"First","Repeat")</f>
        <v>First</v>
      </c>
      <c r="U11" s="3" t="str">
        <f>IF(AND($K11=DateTime_Filter!$C$21,$N11&gt;=DateTime_Filter!$C$22),MAX(U$1:U10)+1,"")</f>
        <v/>
      </c>
    </row>
    <row r="12" spans="1:21" x14ac:dyDescent="0.35">
      <c r="A12" s="3" t="s">
        <v>74</v>
      </c>
      <c r="B12" s="4">
        <v>45408</v>
      </c>
      <c r="C12" s="3" t="s">
        <v>75</v>
      </c>
      <c r="D12" s="3" t="s">
        <v>76</v>
      </c>
      <c r="E12" s="3" t="s">
        <v>38</v>
      </c>
      <c r="F12" s="3" t="s">
        <v>39</v>
      </c>
      <c r="G12" s="3" t="s">
        <v>40</v>
      </c>
      <c r="H12" s="3">
        <v>3</v>
      </c>
      <c r="I12" s="5">
        <v>59.99</v>
      </c>
      <c r="J12" s="3" t="s">
        <v>27</v>
      </c>
      <c r="K12" s="3" t="s">
        <v>57</v>
      </c>
      <c r="L12" s="3" t="s">
        <v>34</v>
      </c>
      <c r="M12" s="4">
        <v>45207</v>
      </c>
      <c r="N12" s="5">
        <v>179.97</v>
      </c>
      <c r="O12" s="6">
        <f t="shared" si="0"/>
        <v>45383</v>
      </c>
      <c r="P12" s="4">
        <f t="shared" si="1"/>
        <v>45412</v>
      </c>
      <c r="Q12" s="3">
        <f t="shared" si="2"/>
        <v>0</v>
      </c>
      <c r="R12" s="7">
        <f t="shared" ca="1" si="3"/>
        <v>916</v>
      </c>
      <c r="S12" s="3">
        <f t="shared" si="4"/>
        <v>8</v>
      </c>
      <c r="T12" s="3" t="str">
        <f>IF(COUNTIF($D$2:D12,D12)=1,"First","Repeat")</f>
        <v>First</v>
      </c>
      <c r="U12" s="3" t="str">
        <f>IF(AND($K12=DateTime_Filter!$C$21,$N12&gt;=DateTime_Filter!$C$22),MAX(U$1:U11)+1,"")</f>
        <v/>
      </c>
    </row>
    <row r="13" spans="1:21" x14ac:dyDescent="0.35">
      <c r="A13" s="3" t="s">
        <v>77</v>
      </c>
      <c r="B13" s="4">
        <v>45408</v>
      </c>
      <c r="C13" s="3" t="s">
        <v>45</v>
      </c>
      <c r="D13" s="3" t="s">
        <v>46</v>
      </c>
      <c r="E13" s="3" t="s">
        <v>51</v>
      </c>
      <c r="F13" s="3" t="s">
        <v>52</v>
      </c>
      <c r="G13" s="3" t="s">
        <v>53</v>
      </c>
      <c r="H13" s="3">
        <v>5</v>
      </c>
      <c r="I13" s="5">
        <v>149.99</v>
      </c>
      <c r="J13" s="3" t="s">
        <v>64</v>
      </c>
      <c r="K13" s="3" t="s">
        <v>47</v>
      </c>
      <c r="L13" s="3" t="s">
        <v>29</v>
      </c>
      <c r="M13" s="4">
        <v>44830</v>
      </c>
      <c r="N13" s="5">
        <v>749.95</v>
      </c>
      <c r="O13" s="6">
        <f t="shared" si="0"/>
        <v>45383</v>
      </c>
      <c r="P13" s="4">
        <f t="shared" si="1"/>
        <v>45412</v>
      </c>
      <c r="Q13" s="3">
        <f t="shared" si="2"/>
        <v>1</v>
      </c>
      <c r="R13" s="7">
        <f t="shared" ca="1" si="3"/>
        <v>916</v>
      </c>
      <c r="S13" s="3">
        <f t="shared" si="4"/>
        <v>6</v>
      </c>
      <c r="T13" s="3" t="str">
        <f>IF(COUNTIF($D$2:D13,D13)=1,"First","Repeat")</f>
        <v>Repeat</v>
      </c>
      <c r="U13" s="3" t="str">
        <f>IF(AND($K13=DateTime_Filter!$C$21,$N13&gt;=DateTime_Filter!$C$22),MAX(U$1:U12)+1,"")</f>
        <v/>
      </c>
    </row>
    <row r="14" spans="1:21" x14ac:dyDescent="0.35">
      <c r="A14" s="3" t="s">
        <v>78</v>
      </c>
      <c r="B14" s="4">
        <v>45408</v>
      </c>
      <c r="C14" s="3" t="s">
        <v>79</v>
      </c>
      <c r="D14" s="3" t="s">
        <v>80</v>
      </c>
      <c r="E14" s="3" t="s">
        <v>51</v>
      </c>
      <c r="F14" s="3" t="s">
        <v>52</v>
      </c>
      <c r="G14" s="3" t="s">
        <v>53</v>
      </c>
      <c r="H14" s="3">
        <v>3</v>
      </c>
      <c r="I14" s="5">
        <v>149.99</v>
      </c>
      <c r="J14" s="3" t="s">
        <v>27</v>
      </c>
      <c r="K14" s="3" t="s">
        <v>47</v>
      </c>
      <c r="L14" s="3" t="s">
        <v>34</v>
      </c>
      <c r="M14" s="4">
        <v>44806</v>
      </c>
      <c r="N14" s="5">
        <v>449.97</v>
      </c>
      <c r="O14" s="6">
        <f t="shared" si="0"/>
        <v>45383</v>
      </c>
      <c r="P14" s="4">
        <f t="shared" si="1"/>
        <v>45412</v>
      </c>
      <c r="Q14" s="3">
        <f t="shared" si="2"/>
        <v>1</v>
      </c>
      <c r="R14" s="7">
        <f t="shared" ca="1" si="3"/>
        <v>916</v>
      </c>
      <c r="S14" s="3">
        <f t="shared" si="4"/>
        <v>5</v>
      </c>
      <c r="T14" s="3" t="str">
        <f>IF(COUNTIF($D$2:D14,D14)=1,"First","Repeat")</f>
        <v>First</v>
      </c>
      <c r="U14" s="3" t="str">
        <f>IF(AND($K14=DateTime_Filter!$C$21,$N14&gt;=DateTime_Filter!$C$22),MAX(U$1:U13)+1,"")</f>
        <v/>
      </c>
    </row>
    <row r="15" spans="1:21" x14ac:dyDescent="0.35">
      <c r="A15" s="3" t="s">
        <v>81</v>
      </c>
      <c r="B15" s="4">
        <v>45409</v>
      </c>
      <c r="C15" s="3" t="s">
        <v>82</v>
      </c>
      <c r="D15" s="3" t="s">
        <v>83</v>
      </c>
      <c r="E15" s="3" t="s">
        <v>38</v>
      </c>
      <c r="F15" s="3" t="s">
        <v>39</v>
      </c>
      <c r="G15" s="3" t="s">
        <v>40</v>
      </c>
      <c r="H15" s="3">
        <v>3</v>
      </c>
      <c r="I15" s="5">
        <v>59.99</v>
      </c>
      <c r="J15" s="3" t="s">
        <v>33</v>
      </c>
      <c r="K15" s="3" t="s">
        <v>47</v>
      </c>
      <c r="L15" s="3" t="s">
        <v>43</v>
      </c>
      <c r="M15" s="4">
        <v>45351</v>
      </c>
      <c r="N15" s="5">
        <v>179.97</v>
      </c>
      <c r="O15" s="6">
        <f t="shared" si="0"/>
        <v>45383</v>
      </c>
      <c r="P15" s="4">
        <f t="shared" si="1"/>
        <v>45412</v>
      </c>
      <c r="Q15" s="3">
        <f t="shared" si="2"/>
        <v>0</v>
      </c>
      <c r="R15" s="7">
        <f t="shared" ca="1" si="3"/>
        <v>915</v>
      </c>
      <c r="S15" s="3">
        <f t="shared" si="4"/>
        <v>2</v>
      </c>
      <c r="T15" s="3" t="str">
        <f>IF(COUNTIF($D$2:D15,D15)=1,"First","Repeat")</f>
        <v>First</v>
      </c>
      <c r="U15" s="3" t="str">
        <f>IF(AND($K15=DateTime_Filter!$C$21,$N15&gt;=DateTime_Filter!$C$22),MAX(U$1:U14)+1,"")</f>
        <v/>
      </c>
    </row>
    <row r="16" spans="1:21" x14ac:dyDescent="0.35">
      <c r="A16" s="3" t="s">
        <v>84</v>
      </c>
      <c r="B16" s="4">
        <v>45409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26</v>
      </c>
      <c r="H16" s="3">
        <v>3</v>
      </c>
      <c r="I16" s="5">
        <v>699.99</v>
      </c>
      <c r="J16" s="3" t="s">
        <v>33</v>
      </c>
      <c r="K16" s="3" t="s">
        <v>57</v>
      </c>
      <c r="L16" s="3" t="s">
        <v>29</v>
      </c>
      <c r="M16" s="4">
        <v>44577</v>
      </c>
      <c r="N16" s="5">
        <v>2099.9699999999998</v>
      </c>
      <c r="O16" s="6">
        <f t="shared" si="0"/>
        <v>45383</v>
      </c>
      <c r="P16" s="4">
        <f t="shared" si="1"/>
        <v>45412</v>
      </c>
      <c r="Q16" s="3">
        <f t="shared" si="2"/>
        <v>2</v>
      </c>
      <c r="R16" s="7">
        <f t="shared" ca="1" si="3"/>
        <v>915</v>
      </c>
      <c r="S16" s="3">
        <f t="shared" si="4"/>
        <v>2</v>
      </c>
      <c r="T16" s="3" t="str">
        <f>IF(COUNTIF($D$2:D16,D16)=1,"First","Repeat")</f>
        <v>First</v>
      </c>
      <c r="U16" s="3" t="str">
        <f>IF(AND($K16=DateTime_Filter!$C$21,$N16&gt;=DateTime_Filter!$C$22),MAX(U$1:U15)+1,"")</f>
        <v/>
      </c>
    </row>
    <row r="17" spans="1:21" x14ac:dyDescent="0.35">
      <c r="A17" s="3" t="s">
        <v>89</v>
      </c>
      <c r="B17" s="4">
        <v>45409</v>
      </c>
      <c r="C17" s="3" t="s">
        <v>90</v>
      </c>
      <c r="D17" s="3" t="s">
        <v>91</v>
      </c>
      <c r="E17" s="3" t="s">
        <v>68</v>
      </c>
      <c r="F17" s="3" t="s">
        <v>69</v>
      </c>
      <c r="G17" s="3" t="s">
        <v>26</v>
      </c>
      <c r="H17" s="3">
        <v>1</v>
      </c>
      <c r="I17" s="5">
        <v>899.99</v>
      </c>
      <c r="J17" s="3" t="s">
        <v>64</v>
      </c>
      <c r="K17" s="3" t="s">
        <v>47</v>
      </c>
      <c r="L17" s="3" t="s">
        <v>43</v>
      </c>
      <c r="M17" s="4">
        <v>44920</v>
      </c>
      <c r="N17" s="5">
        <v>899.99</v>
      </c>
      <c r="O17" s="6">
        <f t="shared" si="0"/>
        <v>45383</v>
      </c>
      <c r="P17" s="4">
        <f t="shared" si="1"/>
        <v>45412</v>
      </c>
      <c r="Q17" s="3">
        <f t="shared" si="2"/>
        <v>1</v>
      </c>
      <c r="R17" s="7">
        <f t="shared" ca="1" si="3"/>
        <v>915</v>
      </c>
      <c r="S17" s="3">
        <f t="shared" si="4"/>
        <v>3</v>
      </c>
      <c r="T17" s="3" t="str">
        <f>IF(COUNTIF($D$2:D17,D17)=1,"First","Repeat")</f>
        <v>First</v>
      </c>
      <c r="U17" s="3" t="str">
        <f>IF(AND($K17=DateTime_Filter!$C$21,$N17&gt;=DateTime_Filter!$C$22),MAX(U$1:U16)+1,"")</f>
        <v/>
      </c>
    </row>
    <row r="18" spans="1:21" x14ac:dyDescent="0.35">
      <c r="A18" s="3" t="s">
        <v>92</v>
      </c>
      <c r="B18" s="4">
        <v>45410</v>
      </c>
      <c r="C18" s="3" t="s">
        <v>93</v>
      </c>
      <c r="D18" s="3" t="s">
        <v>94</v>
      </c>
      <c r="E18" s="3" t="s">
        <v>51</v>
      </c>
      <c r="F18" s="3" t="s">
        <v>52</v>
      </c>
      <c r="G18" s="3" t="s">
        <v>53</v>
      </c>
      <c r="H18" s="3">
        <v>4</v>
      </c>
      <c r="I18" s="5">
        <v>149.99</v>
      </c>
      <c r="J18" s="3" t="s">
        <v>64</v>
      </c>
      <c r="K18" s="3" t="s">
        <v>47</v>
      </c>
      <c r="L18" s="3" t="s">
        <v>34</v>
      </c>
      <c r="M18" s="4">
        <v>45374</v>
      </c>
      <c r="N18" s="5">
        <v>599.96</v>
      </c>
      <c r="O18" s="6">
        <f t="shared" si="0"/>
        <v>45383</v>
      </c>
      <c r="P18" s="4">
        <f t="shared" si="1"/>
        <v>45412</v>
      </c>
      <c r="Q18" s="3">
        <f t="shared" si="2"/>
        <v>0</v>
      </c>
      <c r="R18" s="7">
        <f t="shared" ca="1" si="3"/>
        <v>914</v>
      </c>
      <c r="S18" s="3">
        <f t="shared" si="4"/>
        <v>12</v>
      </c>
      <c r="T18" s="3" t="str">
        <f>IF(COUNTIF($D$2:D18,D18)=1,"First","Repeat")</f>
        <v>First</v>
      </c>
      <c r="U18" s="3" t="str">
        <f>IF(AND($K18=DateTime_Filter!$C$21,$N18&gt;=DateTime_Filter!$C$22),MAX(U$1:U17)+1,"")</f>
        <v/>
      </c>
    </row>
    <row r="19" spans="1:21" x14ac:dyDescent="0.35">
      <c r="A19" s="3" t="s">
        <v>95</v>
      </c>
      <c r="B19" s="4">
        <v>45410</v>
      </c>
      <c r="C19" s="3" t="s">
        <v>93</v>
      </c>
      <c r="D19" s="3" t="s">
        <v>94</v>
      </c>
      <c r="E19" s="3" t="s">
        <v>68</v>
      </c>
      <c r="F19" s="3" t="s">
        <v>69</v>
      </c>
      <c r="G19" s="3" t="s">
        <v>26</v>
      </c>
      <c r="H19" s="3">
        <v>4</v>
      </c>
      <c r="I19" s="5">
        <v>899.99</v>
      </c>
      <c r="J19" s="3" t="s">
        <v>33</v>
      </c>
      <c r="K19" s="3" t="s">
        <v>57</v>
      </c>
      <c r="L19" s="3" t="s">
        <v>43</v>
      </c>
      <c r="M19" s="4">
        <v>45327</v>
      </c>
      <c r="N19" s="5">
        <v>3599.96</v>
      </c>
      <c r="O19" s="6">
        <f t="shared" si="0"/>
        <v>45383</v>
      </c>
      <c r="P19" s="4">
        <f t="shared" si="1"/>
        <v>45412</v>
      </c>
      <c r="Q19" s="3">
        <f t="shared" si="2"/>
        <v>0</v>
      </c>
      <c r="R19" s="7">
        <f t="shared" ca="1" si="3"/>
        <v>914</v>
      </c>
      <c r="S19" s="3">
        <f t="shared" si="4"/>
        <v>12</v>
      </c>
      <c r="T19" s="3" t="str">
        <f>IF(COUNTIF($D$2:D19,D19)=1,"First","Repeat")</f>
        <v>Repeat</v>
      </c>
      <c r="U19" s="3" t="str">
        <f>IF(AND($K19=DateTime_Filter!$C$21,$N19&gt;=DateTime_Filter!$C$22),MAX(U$1:U18)+1,"")</f>
        <v/>
      </c>
    </row>
    <row r="20" spans="1:21" x14ac:dyDescent="0.35">
      <c r="A20" s="3" t="s">
        <v>96</v>
      </c>
      <c r="B20" s="4">
        <v>45410</v>
      </c>
      <c r="C20" s="3" t="s">
        <v>97</v>
      </c>
      <c r="D20" s="3" t="s">
        <v>98</v>
      </c>
      <c r="E20" s="3" t="s">
        <v>87</v>
      </c>
      <c r="F20" s="3" t="s">
        <v>88</v>
      </c>
      <c r="G20" s="3" t="s">
        <v>26</v>
      </c>
      <c r="H20" s="3">
        <v>2</v>
      </c>
      <c r="I20" s="5">
        <v>699.99</v>
      </c>
      <c r="J20" s="3" t="s">
        <v>27</v>
      </c>
      <c r="K20" s="3" t="s">
        <v>47</v>
      </c>
      <c r="L20" s="3" t="s">
        <v>29</v>
      </c>
      <c r="M20" s="4">
        <v>44781</v>
      </c>
      <c r="N20" s="5">
        <v>1399.98</v>
      </c>
      <c r="O20" s="6">
        <f t="shared" si="0"/>
        <v>45383</v>
      </c>
      <c r="P20" s="4">
        <f t="shared" si="1"/>
        <v>45412</v>
      </c>
      <c r="Q20" s="3">
        <f t="shared" si="2"/>
        <v>1</v>
      </c>
      <c r="R20" s="7">
        <f t="shared" ca="1" si="3"/>
        <v>914</v>
      </c>
      <c r="S20" s="3">
        <f t="shared" si="4"/>
        <v>4</v>
      </c>
      <c r="T20" s="3" t="str">
        <f>IF(COUNTIF($D$2:D20,D20)=1,"First","Repeat")</f>
        <v>First</v>
      </c>
      <c r="U20" s="3">
        <f>IF(AND($K20=DateTime_Filter!$C$21,$N20&gt;=DateTime_Filter!$C$22),MAX(U$1:U19)+1,"")</f>
        <v>1</v>
      </c>
    </row>
    <row r="21" spans="1:21" x14ac:dyDescent="0.35">
      <c r="A21" s="3" t="s">
        <v>99</v>
      </c>
      <c r="B21" s="4">
        <v>45410</v>
      </c>
      <c r="C21" s="3" t="s">
        <v>100</v>
      </c>
      <c r="D21" s="3" t="s">
        <v>101</v>
      </c>
      <c r="E21" s="3" t="s">
        <v>24</v>
      </c>
      <c r="F21" s="3" t="s">
        <v>25</v>
      </c>
      <c r="G21" s="3" t="s">
        <v>26</v>
      </c>
      <c r="H21" s="3">
        <v>3</v>
      </c>
      <c r="I21" s="5">
        <v>249.99</v>
      </c>
      <c r="J21" s="3" t="s">
        <v>33</v>
      </c>
      <c r="K21" s="3" t="s">
        <v>47</v>
      </c>
      <c r="L21" s="3" t="s">
        <v>34</v>
      </c>
      <c r="M21" s="4">
        <v>45224</v>
      </c>
      <c r="N21" s="5">
        <v>749.97</v>
      </c>
      <c r="O21" s="6">
        <f t="shared" si="0"/>
        <v>45383</v>
      </c>
      <c r="P21" s="4">
        <f t="shared" si="1"/>
        <v>45412</v>
      </c>
      <c r="Q21" s="3">
        <f t="shared" si="2"/>
        <v>0</v>
      </c>
      <c r="R21" s="7">
        <f t="shared" ca="1" si="3"/>
        <v>914</v>
      </c>
      <c r="S21" s="3">
        <f t="shared" si="4"/>
        <v>6</v>
      </c>
      <c r="T21" s="3" t="str">
        <f>IF(COUNTIF($D$2:D21,D21)=1,"First","Repeat")</f>
        <v>First</v>
      </c>
      <c r="U21" s="3" t="str">
        <f>IF(AND($K21=DateTime_Filter!$C$21,$N21&gt;=DateTime_Filter!$C$22),MAX(U$1:U20)+1,"")</f>
        <v/>
      </c>
    </row>
    <row r="22" spans="1:21" x14ac:dyDescent="0.35">
      <c r="A22" s="3" t="s">
        <v>102</v>
      </c>
      <c r="B22" s="4">
        <v>45412</v>
      </c>
      <c r="C22" s="3" t="s">
        <v>103</v>
      </c>
      <c r="D22" s="3" t="s">
        <v>104</v>
      </c>
      <c r="E22" s="3" t="s">
        <v>87</v>
      </c>
      <c r="F22" s="3" t="s">
        <v>88</v>
      </c>
      <c r="G22" s="3" t="s">
        <v>26</v>
      </c>
      <c r="H22" s="3">
        <v>5</v>
      </c>
      <c r="I22" s="5">
        <v>699.99</v>
      </c>
      <c r="J22" s="3" t="s">
        <v>27</v>
      </c>
      <c r="K22" s="3" t="s">
        <v>57</v>
      </c>
      <c r="L22" s="3" t="s">
        <v>29</v>
      </c>
      <c r="M22" s="4">
        <v>45167</v>
      </c>
      <c r="N22" s="5">
        <v>3499.95</v>
      </c>
      <c r="O22" s="6">
        <f t="shared" si="0"/>
        <v>45383</v>
      </c>
      <c r="P22" s="4">
        <f t="shared" si="1"/>
        <v>45412</v>
      </c>
      <c r="Q22" s="3">
        <f t="shared" si="2"/>
        <v>0</v>
      </c>
      <c r="R22" s="7">
        <f t="shared" ca="1" si="3"/>
        <v>912</v>
      </c>
      <c r="S22" s="3">
        <f t="shared" si="4"/>
        <v>5</v>
      </c>
      <c r="T22" s="3" t="str">
        <f>IF(COUNTIF($D$2:D22,D22)=1,"First","Repeat")</f>
        <v>First</v>
      </c>
      <c r="U22" s="3" t="str">
        <f>IF(AND($K22=DateTime_Filter!$C$21,$N22&gt;=DateTime_Filter!$C$22),MAX(U$1:U21)+1,"")</f>
        <v/>
      </c>
    </row>
    <row r="23" spans="1:21" x14ac:dyDescent="0.35">
      <c r="A23" s="3" t="s">
        <v>105</v>
      </c>
      <c r="B23" s="4">
        <v>45413</v>
      </c>
      <c r="C23" s="3" t="s">
        <v>106</v>
      </c>
      <c r="D23" s="3" t="s">
        <v>107</v>
      </c>
      <c r="E23" s="3" t="s">
        <v>87</v>
      </c>
      <c r="F23" s="3" t="s">
        <v>88</v>
      </c>
      <c r="G23" s="3" t="s">
        <v>26</v>
      </c>
      <c r="H23" s="3">
        <v>4</v>
      </c>
      <c r="I23" s="5">
        <v>699.99</v>
      </c>
      <c r="J23" s="3" t="s">
        <v>27</v>
      </c>
      <c r="K23" s="3" t="s">
        <v>70</v>
      </c>
      <c r="L23" s="3" t="s">
        <v>43</v>
      </c>
      <c r="M23" s="4">
        <v>44409</v>
      </c>
      <c r="N23" s="5">
        <v>2799.96</v>
      </c>
      <c r="O23" s="6">
        <f t="shared" si="0"/>
        <v>45413</v>
      </c>
      <c r="P23" s="4">
        <f t="shared" si="1"/>
        <v>45443</v>
      </c>
      <c r="Q23" s="3">
        <f t="shared" si="2"/>
        <v>2</v>
      </c>
      <c r="R23" s="7">
        <f t="shared" ca="1" si="3"/>
        <v>911</v>
      </c>
      <c r="S23" s="3">
        <f t="shared" si="4"/>
        <v>8</v>
      </c>
      <c r="T23" s="3" t="str">
        <f>IF(COUNTIF($D$2:D23,D23)=1,"First","Repeat")</f>
        <v>First</v>
      </c>
      <c r="U23" s="3" t="str">
        <f>IF(AND($K23=DateTime_Filter!$C$21,$N23&gt;=DateTime_Filter!$C$22),MAX(U$1:U22)+1,"")</f>
        <v/>
      </c>
    </row>
    <row r="24" spans="1:21" x14ac:dyDescent="0.35">
      <c r="A24" s="3" t="s">
        <v>108</v>
      </c>
      <c r="B24" s="4">
        <v>45415</v>
      </c>
      <c r="C24" s="3" t="s">
        <v>109</v>
      </c>
      <c r="D24" s="3" t="s">
        <v>110</v>
      </c>
      <c r="E24" s="3" t="s">
        <v>24</v>
      </c>
      <c r="F24" s="3" t="s">
        <v>25</v>
      </c>
      <c r="G24" s="3" t="s">
        <v>26</v>
      </c>
      <c r="H24" s="3">
        <v>4</v>
      </c>
      <c r="I24" s="5">
        <v>249.99</v>
      </c>
      <c r="J24" s="3" t="s">
        <v>41</v>
      </c>
      <c r="K24" s="3" t="s">
        <v>47</v>
      </c>
      <c r="L24" s="3" t="s">
        <v>43</v>
      </c>
      <c r="M24" s="4">
        <v>44468</v>
      </c>
      <c r="N24" s="5">
        <v>999.96</v>
      </c>
      <c r="O24" s="6">
        <f t="shared" si="0"/>
        <v>45413</v>
      </c>
      <c r="P24" s="4">
        <f t="shared" si="1"/>
        <v>45443</v>
      </c>
      <c r="Q24" s="3">
        <f t="shared" si="2"/>
        <v>2</v>
      </c>
      <c r="R24" s="7">
        <f t="shared" ca="1" si="3"/>
        <v>909</v>
      </c>
      <c r="S24" s="3">
        <f t="shared" si="4"/>
        <v>5</v>
      </c>
      <c r="T24" s="3" t="str">
        <f>IF(COUNTIF($D$2:D24,D24)=1,"First","Repeat")</f>
        <v>First</v>
      </c>
      <c r="U24" s="3" t="str">
        <f>IF(AND($K24=DateTime_Filter!$C$21,$N24&gt;=DateTime_Filter!$C$22),MAX(U$1:U23)+1,"")</f>
        <v/>
      </c>
    </row>
    <row r="25" spans="1:21" x14ac:dyDescent="0.35">
      <c r="A25" s="3" t="s">
        <v>111</v>
      </c>
      <c r="B25" s="4">
        <v>45416</v>
      </c>
      <c r="C25" s="3" t="s">
        <v>93</v>
      </c>
      <c r="D25" s="3" t="s">
        <v>94</v>
      </c>
      <c r="E25" s="3" t="s">
        <v>112</v>
      </c>
      <c r="F25" s="3" t="s">
        <v>113</v>
      </c>
      <c r="G25" s="3" t="s">
        <v>53</v>
      </c>
      <c r="H25" s="3">
        <v>4</v>
      </c>
      <c r="I25" s="5">
        <v>299.99</v>
      </c>
      <c r="J25" s="3" t="s">
        <v>27</v>
      </c>
      <c r="K25" s="3" t="s">
        <v>57</v>
      </c>
      <c r="L25" s="3" t="s">
        <v>34</v>
      </c>
      <c r="M25" s="4">
        <v>44716</v>
      </c>
      <c r="N25" s="5">
        <v>1199.96</v>
      </c>
      <c r="O25" s="6">
        <f t="shared" si="0"/>
        <v>45413</v>
      </c>
      <c r="P25" s="4">
        <f t="shared" si="1"/>
        <v>45443</v>
      </c>
      <c r="Q25" s="3">
        <f t="shared" si="2"/>
        <v>1</v>
      </c>
      <c r="R25" s="7">
        <f t="shared" ca="1" si="3"/>
        <v>908</v>
      </c>
      <c r="S25" s="3">
        <f t="shared" si="4"/>
        <v>12</v>
      </c>
      <c r="T25" s="3" t="str">
        <f>IF(COUNTIF($D$2:D25,D25)=1,"First","Repeat")</f>
        <v>Repeat</v>
      </c>
      <c r="U25" s="3" t="str">
        <f>IF(AND($K25=DateTime_Filter!$C$21,$N25&gt;=DateTime_Filter!$C$22),MAX(U$1:U24)+1,"")</f>
        <v/>
      </c>
    </row>
    <row r="26" spans="1:21" x14ac:dyDescent="0.35">
      <c r="A26" s="3" t="s">
        <v>114</v>
      </c>
      <c r="B26" s="4">
        <v>45422</v>
      </c>
      <c r="C26" s="3" t="s">
        <v>115</v>
      </c>
      <c r="D26" s="3" t="s">
        <v>116</v>
      </c>
      <c r="E26" s="3" t="s">
        <v>24</v>
      </c>
      <c r="F26" s="3" t="s">
        <v>25</v>
      </c>
      <c r="G26" s="3" t="s">
        <v>26</v>
      </c>
      <c r="H26" s="3">
        <v>5</v>
      </c>
      <c r="I26" s="5">
        <v>249.99</v>
      </c>
      <c r="J26" s="3" t="s">
        <v>33</v>
      </c>
      <c r="K26" s="3" t="s">
        <v>57</v>
      </c>
      <c r="L26" s="3" t="s">
        <v>43</v>
      </c>
      <c r="M26" s="4">
        <v>44525</v>
      </c>
      <c r="N26" s="5">
        <v>1249.95</v>
      </c>
      <c r="O26" s="6">
        <f t="shared" si="0"/>
        <v>45413</v>
      </c>
      <c r="P26" s="4">
        <f t="shared" si="1"/>
        <v>45443</v>
      </c>
      <c r="Q26" s="3">
        <f t="shared" si="2"/>
        <v>2</v>
      </c>
      <c r="R26" s="7">
        <f t="shared" ca="1" si="3"/>
        <v>902</v>
      </c>
      <c r="S26" s="3">
        <f t="shared" si="4"/>
        <v>6</v>
      </c>
      <c r="T26" s="3" t="str">
        <f>IF(COUNTIF($D$2:D26,D26)=1,"First","Repeat")</f>
        <v>First</v>
      </c>
      <c r="U26" s="3" t="str">
        <f>IF(AND($K26=DateTime_Filter!$C$21,$N26&gt;=DateTime_Filter!$C$22),MAX(U$1:U25)+1,"")</f>
        <v/>
      </c>
    </row>
    <row r="27" spans="1:21" x14ac:dyDescent="0.35">
      <c r="A27" s="3" t="s">
        <v>117</v>
      </c>
      <c r="B27" s="4">
        <v>45424</v>
      </c>
      <c r="C27" s="3" t="s">
        <v>106</v>
      </c>
      <c r="D27" s="3" t="s">
        <v>107</v>
      </c>
      <c r="E27" s="3" t="s">
        <v>118</v>
      </c>
      <c r="F27" s="3" t="s">
        <v>119</v>
      </c>
      <c r="G27" s="3" t="s">
        <v>26</v>
      </c>
      <c r="H27" s="3">
        <v>5</v>
      </c>
      <c r="I27" s="5">
        <v>89.99</v>
      </c>
      <c r="J27" s="3" t="s">
        <v>27</v>
      </c>
      <c r="K27" s="3" t="s">
        <v>47</v>
      </c>
      <c r="L27" s="3" t="s">
        <v>34</v>
      </c>
      <c r="M27" s="4">
        <v>44919</v>
      </c>
      <c r="N27" s="5">
        <v>449.95</v>
      </c>
      <c r="O27" s="6">
        <f t="shared" si="0"/>
        <v>45413</v>
      </c>
      <c r="P27" s="4">
        <f t="shared" si="1"/>
        <v>45443</v>
      </c>
      <c r="Q27" s="3">
        <f t="shared" si="2"/>
        <v>1</v>
      </c>
      <c r="R27" s="7">
        <f t="shared" ca="1" si="3"/>
        <v>900</v>
      </c>
      <c r="S27" s="3">
        <f t="shared" si="4"/>
        <v>8</v>
      </c>
      <c r="T27" s="3" t="str">
        <f>IF(COUNTIF($D$2:D27,D27)=1,"First","Repeat")</f>
        <v>Repeat</v>
      </c>
      <c r="U27" s="3" t="str">
        <f>IF(AND($K27=DateTime_Filter!$C$21,$N27&gt;=DateTime_Filter!$C$22),MAX(U$1:U26)+1,"")</f>
        <v/>
      </c>
    </row>
    <row r="28" spans="1:21" x14ac:dyDescent="0.35">
      <c r="A28" s="3" t="s">
        <v>120</v>
      </c>
      <c r="B28" s="4">
        <v>45424</v>
      </c>
      <c r="C28" s="3" t="s">
        <v>72</v>
      </c>
      <c r="D28" s="3" t="s">
        <v>73</v>
      </c>
      <c r="E28" s="3" t="s">
        <v>112</v>
      </c>
      <c r="F28" s="3" t="s">
        <v>113</v>
      </c>
      <c r="G28" s="3" t="s">
        <v>53</v>
      </c>
      <c r="H28" s="3">
        <v>5</v>
      </c>
      <c r="I28" s="5">
        <v>299.99</v>
      </c>
      <c r="J28" s="3" t="s">
        <v>41</v>
      </c>
      <c r="K28" s="3" t="s">
        <v>70</v>
      </c>
      <c r="L28" s="3" t="s">
        <v>29</v>
      </c>
      <c r="M28" s="4">
        <v>45168</v>
      </c>
      <c r="N28" s="5">
        <v>1499.95</v>
      </c>
      <c r="O28" s="6">
        <f t="shared" si="0"/>
        <v>45413</v>
      </c>
      <c r="P28" s="4">
        <f t="shared" si="1"/>
        <v>45443</v>
      </c>
      <c r="Q28" s="3">
        <f t="shared" si="2"/>
        <v>0</v>
      </c>
      <c r="R28" s="7">
        <f t="shared" ca="1" si="3"/>
        <v>900</v>
      </c>
      <c r="S28" s="3">
        <f t="shared" si="4"/>
        <v>4</v>
      </c>
      <c r="T28" s="3" t="str">
        <f>IF(COUNTIF($D$2:D28,D28)=1,"First","Repeat")</f>
        <v>Repeat</v>
      </c>
      <c r="U28" s="3" t="str">
        <f>IF(AND($K28=DateTime_Filter!$C$21,$N28&gt;=DateTime_Filter!$C$22),MAX(U$1:U27)+1,"")</f>
        <v/>
      </c>
    </row>
    <row r="29" spans="1:21" x14ac:dyDescent="0.35">
      <c r="A29" s="3" t="s">
        <v>121</v>
      </c>
      <c r="B29" s="4">
        <v>45424</v>
      </c>
      <c r="C29" s="3" t="s">
        <v>122</v>
      </c>
      <c r="D29" s="3" t="s">
        <v>123</v>
      </c>
      <c r="E29" s="3" t="s">
        <v>124</v>
      </c>
      <c r="F29" s="3" t="s">
        <v>125</v>
      </c>
      <c r="G29" s="3" t="s">
        <v>40</v>
      </c>
      <c r="H29" s="3">
        <v>3</v>
      </c>
      <c r="I29" s="5">
        <v>79.989999999999995</v>
      </c>
      <c r="J29" s="3" t="s">
        <v>41</v>
      </c>
      <c r="K29" s="3" t="s">
        <v>70</v>
      </c>
      <c r="L29" s="3" t="s">
        <v>34</v>
      </c>
      <c r="M29" s="4">
        <v>45012</v>
      </c>
      <c r="N29" s="5">
        <v>239.97</v>
      </c>
      <c r="O29" s="6">
        <f t="shared" si="0"/>
        <v>45413</v>
      </c>
      <c r="P29" s="4">
        <f t="shared" si="1"/>
        <v>45443</v>
      </c>
      <c r="Q29" s="3">
        <f t="shared" si="2"/>
        <v>1</v>
      </c>
      <c r="R29" s="7">
        <f t="shared" ca="1" si="3"/>
        <v>900</v>
      </c>
      <c r="S29" s="3">
        <f t="shared" si="4"/>
        <v>4</v>
      </c>
      <c r="T29" s="3" t="str">
        <f>IF(COUNTIF($D$2:D29,D29)=1,"First","Repeat")</f>
        <v>First</v>
      </c>
      <c r="U29" s="3" t="str">
        <f>IF(AND($K29=DateTime_Filter!$C$21,$N29&gt;=DateTime_Filter!$C$22),MAX(U$1:U28)+1,"")</f>
        <v/>
      </c>
    </row>
    <row r="30" spans="1:21" x14ac:dyDescent="0.35">
      <c r="A30" s="3" t="s">
        <v>126</v>
      </c>
      <c r="B30" s="4">
        <v>45425</v>
      </c>
      <c r="C30" s="3" t="s">
        <v>127</v>
      </c>
      <c r="D30" s="3" t="s">
        <v>128</v>
      </c>
      <c r="E30" s="3" t="s">
        <v>38</v>
      </c>
      <c r="F30" s="3" t="s">
        <v>39</v>
      </c>
      <c r="G30" s="3" t="s">
        <v>40</v>
      </c>
      <c r="H30" s="3">
        <v>2</v>
      </c>
      <c r="I30" s="5">
        <v>59.99</v>
      </c>
      <c r="J30" s="3" t="s">
        <v>64</v>
      </c>
      <c r="K30" s="3" t="s">
        <v>28</v>
      </c>
      <c r="L30" s="3" t="s">
        <v>43</v>
      </c>
      <c r="M30" s="4">
        <v>45214</v>
      </c>
      <c r="N30" s="5">
        <v>119.98</v>
      </c>
      <c r="O30" s="6">
        <f t="shared" si="0"/>
        <v>45413</v>
      </c>
      <c r="P30" s="4">
        <f t="shared" si="1"/>
        <v>45443</v>
      </c>
      <c r="Q30" s="3">
        <f t="shared" si="2"/>
        <v>0</v>
      </c>
      <c r="R30" s="7">
        <f t="shared" ca="1" si="3"/>
        <v>899</v>
      </c>
      <c r="S30" s="3">
        <f t="shared" si="4"/>
        <v>7</v>
      </c>
      <c r="T30" s="3" t="str">
        <f>IF(COUNTIF($D$2:D30,D30)=1,"First","Repeat")</f>
        <v>First</v>
      </c>
      <c r="U30" s="3" t="str">
        <f>IF(AND($K30=DateTime_Filter!$C$21,$N30&gt;=DateTime_Filter!$C$22),MAX(U$1:U29)+1,"")</f>
        <v/>
      </c>
    </row>
    <row r="31" spans="1:21" x14ac:dyDescent="0.35">
      <c r="A31" s="3" t="s">
        <v>129</v>
      </c>
      <c r="B31" s="4">
        <v>45427</v>
      </c>
      <c r="C31" s="3" t="s">
        <v>62</v>
      </c>
      <c r="D31" s="3" t="s">
        <v>63</v>
      </c>
      <c r="E31" s="3" t="s">
        <v>130</v>
      </c>
      <c r="F31" s="3" t="s">
        <v>131</v>
      </c>
      <c r="G31" s="3" t="s">
        <v>53</v>
      </c>
      <c r="H31" s="3">
        <v>5</v>
      </c>
      <c r="I31" s="5">
        <v>199.99</v>
      </c>
      <c r="J31" s="3" t="s">
        <v>27</v>
      </c>
      <c r="K31" s="3" t="s">
        <v>42</v>
      </c>
      <c r="L31" s="3" t="s">
        <v>43</v>
      </c>
      <c r="M31" s="4">
        <v>44412</v>
      </c>
      <c r="N31" s="5">
        <v>999.95</v>
      </c>
      <c r="O31" s="6">
        <f t="shared" si="0"/>
        <v>45413</v>
      </c>
      <c r="P31" s="4">
        <f t="shared" si="1"/>
        <v>45443</v>
      </c>
      <c r="Q31" s="3">
        <f t="shared" si="2"/>
        <v>2</v>
      </c>
      <c r="R31" s="7">
        <f t="shared" ca="1" si="3"/>
        <v>897</v>
      </c>
      <c r="S31" s="3">
        <f t="shared" si="4"/>
        <v>9</v>
      </c>
      <c r="T31" s="3" t="str">
        <f>IF(COUNTIF($D$2:D31,D31)=1,"First","Repeat")</f>
        <v>Repeat</v>
      </c>
      <c r="U31" s="3" t="str">
        <f>IF(AND($K31=DateTime_Filter!$C$21,$N31&gt;=DateTime_Filter!$C$22),MAX(U$1:U30)+1,"")</f>
        <v/>
      </c>
    </row>
    <row r="32" spans="1:21" x14ac:dyDescent="0.35">
      <c r="A32" s="3" t="s">
        <v>132</v>
      </c>
      <c r="B32" s="4">
        <v>45427</v>
      </c>
      <c r="C32" s="3" t="s">
        <v>133</v>
      </c>
      <c r="D32" s="3" t="s">
        <v>134</v>
      </c>
      <c r="E32" s="3" t="s">
        <v>38</v>
      </c>
      <c r="F32" s="3" t="s">
        <v>39</v>
      </c>
      <c r="G32" s="3" t="s">
        <v>40</v>
      </c>
      <c r="H32" s="3">
        <v>4</v>
      </c>
      <c r="I32" s="5">
        <v>59.99</v>
      </c>
      <c r="J32" s="3" t="s">
        <v>64</v>
      </c>
      <c r="K32" s="3" t="s">
        <v>70</v>
      </c>
      <c r="L32" s="3" t="s">
        <v>43</v>
      </c>
      <c r="M32" s="4">
        <v>44867</v>
      </c>
      <c r="N32" s="5">
        <v>239.96</v>
      </c>
      <c r="O32" s="6">
        <f t="shared" si="0"/>
        <v>45413</v>
      </c>
      <c r="P32" s="4">
        <f t="shared" si="1"/>
        <v>45443</v>
      </c>
      <c r="Q32" s="3">
        <f t="shared" si="2"/>
        <v>1</v>
      </c>
      <c r="R32" s="7">
        <f t="shared" ca="1" si="3"/>
        <v>897</v>
      </c>
      <c r="S32" s="3">
        <f t="shared" si="4"/>
        <v>6</v>
      </c>
      <c r="T32" s="3" t="str">
        <f>IF(COUNTIF($D$2:D32,D32)=1,"First","Repeat")</f>
        <v>First</v>
      </c>
      <c r="U32" s="3" t="str">
        <f>IF(AND($K32=DateTime_Filter!$C$21,$N32&gt;=DateTime_Filter!$C$22),MAX(U$1:U31)+1,"")</f>
        <v/>
      </c>
    </row>
    <row r="33" spans="1:21" x14ac:dyDescent="0.35">
      <c r="A33" s="3" t="s">
        <v>135</v>
      </c>
      <c r="B33" s="4">
        <v>45428</v>
      </c>
      <c r="C33" s="3" t="s">
        <v>136</v>
      </c>
      <c r="D33" s="3" t="s">
        <v>137</v>
      </c>
      <c r="E33" s="3" t="s">
        <v>51</v>
      </c>
      <c r="F33" s="3" t="s">
        <v>52</v>
      </c>
      <c r="G33" s="3" t="s">
        <v>53</v>
      </c>
      <c r="H33" s="3">
        <v>2</v>
      </c>
      <c r="I33" s="5">
        <v>149.99</v>
      </c>
      <c r="J33" s="3" t="s">
        <v>33</v>
      </c>
      <c r="K33" s="3" t="s">
        <v>57</v>
      </c>
      <c r="L33" s="3" t="s">
        <v>29</v>
      </c>
      <c r="M33" s="4">
        <v>44823</v>
      </c>
      <c r="N33" s="5">
        <v>299.98</v>
      </c>
      <c r="O33" s="6">
        <f t="shared" si="0"/>
        <v>45413</v>
      </c>
      <c r="P33" s="4">
        <f t="shared" si="1"/>
        <v>45443</v>
      </c>
      <c r="Q33" s="3">
        <f t="shared" si="2"/>
        <v>1</v>
      </c>
      <c r="R33" s="7">
        <f t="shared" ca="1" si="3"/>
        <v>896</v>
      </c>
      <c r="S33" s="3">
        <f t="shared" si="4"/>
        <v>5</v>
      </c>
      <c r="T33" s="3" t="str">
        <f>IF(COUNTIF($D$2:D33,D33)=1,"First","Repeat")</f>
        <v>First</v>
      </c>
      <c r="U33" s="3" t="str">
        <f>IF(AND($K33=DateTime_Filter!$C$21,$N33&gt;=DateTime_Filter!$C$22),MAX(U$1:U32)+1,"")</f>
        <v/>
      </c>
    </row>
    <row r="34" spans="1:21" x14ac:dyDescent="0.35">
      <c r="A34" s="3" t="s">
        <v>138</v>
      </c>
      <c r="B34" s="4">
        <v>45430</v>
      </c>
      <c r="C34" s="3" t="s">
        <v>139</v>
      </c>
      <c r="D34" s="3" t="s">
        <v>140</v>
      </c>
      <c r="E34" s="3" t="s">
        <v>51</v>
      </c>
      <c r="F34" s="3" t="s">
        <v>52</v>
      </c>
      <c r="G34" s="3" t="s">
        <v>53</v>
      </c>
      <c r="H34" s="3">
        <v>3</v>
      </c>
      <c r="I34" s="5">
        <v>149.99</v>
      </c>
      <c r="J34" s="3" t="s">
        <v>33</v>
      </c>
      <c r="K34" s="3" t="s">
        <v>57</v>
      </c>
      <c r="L34" s="3" t="s">
        <v>34</v>
      </c>
      <c r="M34" s="4">
        <v>45068</v>
      </c>
      <c r="N34" s="5">
        <v>449.97</v>
      </c>
      <c r="O34" s="6">
        <f t="shared" si="0"/>
        <v>45413</v>
      </c>
      <c r="P34" s="4">
        <f t="shared" si="1"/>
        <v>45443</v>
      </c>
      <c r="Q34" s="3">
        <f t="shared" si="2"/>
        <v>0</v>
      </c>
      <c r="R34" s="7">
        <f t="shared" ca="1" si="3"/>
        <v>894</v>
      </c>
      <c r="S34" s="3">
        <f t="shared" si="4"/>
        <v>5</v>
      </c>
      <c r="T34" s="3" t="str">
        <f>IF(COUNTIF($D$2:D34,D34)=1,"First","Repeat")</f>
        <v>First</v>
      </c>
      <c r="U34" s="3" t="str">
        <f>IF(AND($K34=DateTime_Filter!$C$21,$N34&gt;=DateTime_Filter!$C$22),MAX(U$1:U33)+1,"")</f>
        <v/>
      </c>
    </row>
    <row r="35" spans="1:21" x14ac:dyDescent="0.35">
      <c r="A35" s="3" t="s">
        <v>141</v>
      </c>
      <c r="B35" s="4">
        <v>45432</v>
      </c>
      <c r="C35" s="3" t="s">
        <v>36</v>
      </c>
      <c r="D35" s="3" t="s">
        <v>37</v>
      </c>
      <c r="E35" s="3" t="s">
        <v>68</v>
      </c>
      <c r="F35" s="3" t="s">
        <v>69</v>
      </c>
      <c r="G35" s="3" t="s">
        <v>26</v>
      </c>
      <c r="H35" s="3">
        <v>1</v>
      </c>
      <c r="I35" s="5">
        <v>899.99</v>
      </c>
      <c r="J35" s="3" t="s">
        <v>33</v>
      </c>
      <c r="K35" s="3" t="s">
        <v>57</v>
      </c>
      <c r="L35" s="3" t="s">
        <v>34</v>
      </c>
      <c r="M35" s="4">
        <v>44578</v>
      </c>
      <c r="N35" s="5">
        <v>899.99</v>
      </c>
      <c r="O35" s="6">
        <f t="shared" si="0"/>
        <v>45413</v>
      </c>
      <c r="P35" s="4">
        <f t="shared" si="1"/>
        <v>45443</v>
      </c>
      <c r="Q35" s="3">
        <f t="shared" si="2"/>
        <v>2</v>
      </c>
      <c r="R35" s="7">
        <f t="shared" ca="1" si="3"/>
        <v>892</v>
      </c>
      <c r="S35" s="3">
        <f t="shared" si="4"/>
        <v>6</v>
      </c>
      <c r="T35" s="3" t="str">
        <f>IF(COUNTIF($D$2:D35,D35)=1,"First","Repeat")</f>
        <v>Repeat</v>
      </c>
      <c r="U35" s="3" t="str">
        <f>IF(AND($K35=DateTime_Filter!$C$21,$N35&gt;=DateTime_Filter!$C$22),MAX(U$1:U34)+1,"")</f>
        <v/>
      </c>
    </row>
    <row r="36" spans="1:21" x14ac:dyDescent="0.35">
      <c r="A36" s="3" t="s">
        <v>142</v>
      </c>
      <c r="B36" s="4">
        <v>45434</v>
      </c>
      <c r="C36" s="3" t="s">
        <v>106</v>
      </c>
      <c r="D36" s="3" t="s">
        <v>107</v>
      </c>
      <c r="E36" s="3" t="s">
        <v>112</v>
      </c>
      <c r="F36" s="3" t="s">
        <v>113</v>
      </c>
      <c r="G36" s="3" t="s">
        <v>53</v>
      </c>
      <c r="H36" s="3">
        <v>3</v>
      </c>
      <c r="I36" s="5">
        <v>299.99</v>
      </c>
      <c r="J36" s="3" t="s">
        <v>33</v>
      </c>
      <c r="K36" s="3" t="s">
        <v>70</v>
      </c>
      <c r="L36" s="3" t="s">
        <v>29</v>
      </c>
      <c r="M36" s="4">
        <v>44824</v>
      </c>
      <c r="N36" s="5">
        <v>899.97</v>
      </c>
      <c r="O36" s="6">
        <f t="shared" si="0"/>
        <v>45413</v>
      </c>
      <c r="P36" s="4">
        <f t="shared" si="1"/>
        <v>45443</v>
      </c>
      <c r="Q36" s="3">
        <f t="shared" si="2"/>
        <v>1</v>
      </c>
      <c r="R36" s="7">
        <f t="shared" ca="1" si="3"/>
        <v>890</v>
      </c>
      <c r="S36" s="3">
        <f t="shared" si="4"/>
        <v>8</v>
      </c>
      <c r="T36" s="3" t="str">
        <f>IF(COUNTIF($D$2:D36,D36)=1,"First","Repeat")</f>
        <v>Repeat</v>
      </c>
      <c r="U36" s="3" t="str">
        <f>IF(AND($K36=DateTime_Filter!$C$21,$N36&gt;=DateTime_Filter!$C$22),MAX(U$1:U35)+1,"")</f>
        <v/>
      </c>
    </row>
    <row r="37" spans="1:21" x14ac:dyDescent="0.35">
      <c r="A37" s="3" t="s">
        <v>143</v>
      </c>
      <c r="B37" s="4">
        <v>45435</v>
      </c>
      <c r="C37" s="3" t="s">
        <v>136</v>
      </c>
      <c r="D37" s="3" t="s">
        <v>137</v>
      </c>
      <c r="E37" s="3" t="s">
        <v>124</v>
      </c>
      <c r="F37" s="3" t="s">
        <v>125</v>
      </c>
      <c r="G37" s="3" t="s">
        <v>40</v>
      </c>
      <c r="H37" s="3">
        <v>3</v>
      </c>
      <c r="I37" s="5">
        <v>79.989999999999995</v>
      </c>
      <c r="J37" s="3" t="s">
        <v>27</v>
      </c>
      <c r="K37" s="3" t="s">
        <v>42</v>
      </c>
      <c r="L37" s="3" t="s">
        <v>29</v>
      </c>
      <c r="M37" s="4">
        <v>45046</v>
      </c>
      <c r="N37" s="5">
        <v>239.97</v>
      </c>
      <c r="O37" s="6">
        <f t="shared" si="0"/>
        <v>45413</v>
      </c>
      <c r="P37" s="4">
        <f t="shared" si="1"/>
        <v>45443</v>
      </c>
      <c r="Q37" s="3">
        <f t="shared" si="2"/>
        <v>1</v>
      </c>
      <c r="R37" s="7">
        <f t="shared" ca="1" si="3"/>
        <v>889</v>
      </c>
      <c r="S37" s="3">
        <f t="shared" si="4"/>
        <v>5</v>
      </c>
      <c r="T37" s="3" t="str">
        <f>IF(COUNTIF($D$2:D37,D37)=1,"First","Repeat")</f>
        <v>Repeat</v>
      </c>
      <c r="U37" s="3" t="str">
        <f>IF(AND($K37=DateTime_Filter!$C$21,$N37&gt;=DateTime_Filter!$C$22),MAX(U$1:U36)+1,"")</f>
        <v/>
      </c>
    </row>
    <row r="38" spans="1:21" x14ac:dyDescent="0.35">
      <c r="A38" s="3" t="s">
        <v>144</v>
      </c>
      <c r="B38" s="4">
        <v>45438</v>
      </c>
      <c r="C38" s="3" t="s">
        <v>145</v>
      </c>
      <c r="D38" s="3" t="s">
        <v>146</v>
      </c>
      <c r="E38" s="3" t="s">
        <v>130</v>
      </c>
      <c r="F38" s="3" t="s">
        <v>131</v>
      </c>
      <c r="G38" s="3" t="s">
        <v>53</v>
      </c>
      <c r="H38" s="3">
        <v>3</v>
      </c>
      <c r="I38" s="5">
        <v>199.99</v>
      </c>
      <c r="J38" s="3" t="s">
        <v>33</v>
      </c>
      <c r="K38" s="3" t="s">
        <v>47</v>
      </c>
      <c r="L38" s="3" t="s">
        <v>34</v>
      </c>
      <c r="M38" s="4">
        <v>45292</v>
      </c>
      <c r="N38" s="5">
        <v>599.97</v>
      </c>
      <c r="O38" s="6">
        <f t="shared" si="0"/>
        <v>45413</v>
      </c>
      <c r="P38" s="4">
        <f t="shared" si="1"/>
        <v>45443</v>
      </c>
      <c r="Q38" s="3">
        <f t="shared" si="2"/>
        <v>0</v>
      </c>
      <c r="R38" s="7">
        <f t="shared" ca="1" si="3"/>
        <v>886</v>
      </c>
      <c r="S38" s="3">
        <f t="shared" si="4"/>
        <v>6</v>
      </c>
      <c r="T38" s="3" t="str">
        <f>IF(COUNTIF($D$2:D38,D38)=1,"First","Repeat")</f>
        <v>First</v>
      </c>
      <c r="U38" s="3" t="str">
        <f>IF(AND($K38=DateTime_Filter!$C$21,$N38&gt;=DateTime_Filter!$C$22),MAX(U$1:U37)+1,"")</f>
        <v/>
      </c>
    </row>
    <row r="39" spans="1:21" x14ac:dyDescent="0.35">
      <c r="A39" s="3" t="s">
        <v>147</v>
      </c>
      <c r="B39" s="4">
        <v>45440</v>
      </c>
      <c r="C39" s="3" t="s">
        <v>148</v>
      </c>
      <c r="D39" s="3" t="s">
        <v>149</v>
      </c>
      <c r="E39" s="3" t="s">
        <v>87</v>
      </c>
      <c r="F39" s="3" t="s">
        <v>88</v>
      </c>
      <c r="G39" s="3" t="s">
        <v>26</v>
      </c>
      <c r="H39" s="3">
        <v>5</v>
      </c>
      <c r="I39" s="5">
        <v>699.99</v>
      </c>
      <c r="J39" s="3" t="s">
        <v>41</v>
      </c>
      <c r="K39" s="3" t="s">
        <v>57</v>
      </c>
      <c r="L39" s="3" t="s">
        <v>43</v>
      </c>
      <c r="M39" s="4">
        <v>44407</v>
      </c>
      <c r="N39" s="5">
        <v>3499.95</v>
      </c>
      <c r="O39" s="6">
        <f t="shared" si="0"/>
        <v>45413</v>
      </c>
      <c r="P39" s="4">
        <f t="shared" si="1"/>
        <v>45443</v>
      </c>
      <c r="Q39" s="3">
        <f t="shared" si="2"/>
        <v>2</v>
      </c>
      <c r="R39" s="7">
        <f t="shared" ca="1" si="3"/>
        <v>884</v>
      </c>
      <c r="S39" s="3">
        <f t="shared" si="4"/>
        <v>4</v>
      </c>
      <c r="T39" s="3" t="str">
        <f>IF(COUNTIF($D$2:D39,D39)=1,"First","Repeat")</f>
        <v>First</v>
      </c>
      <c r="U39" s="3" t="str">
        <f>IF(AND($K39=DateTime_Filter!$C$21,$N39&gt;=DateTime_Filter!$C$22),MAX(U$1:U38)+1,"")</f>
        <v/>
      </c>
    </row>
    <row r="40" spans="1:21" x14ac:dyDescent="0.35">
      <c r="A40" s="3" t="s">
        <v>150</v>
      </c>
      <c r="B40" s="4">
        <v>45441</v>
      </c>
      <c r="C40" s="3" t="s">
        <v>151</v>
      </c>
      <c r="D40" s="3" t="s">
        <v>152</v>
      </c>
      <c r="E40" s="3" t="s">
        <v>118</v>
      </c>
      <c r="F40" s="3" t="s">
        <v>119</v>
      </c>
      <c r="G40" s="3" t="s">
        <v>26</v>
      </c>
      <c r="H40" s="3">
        <v>3</v>
      </c>
      <c r="I40" s="5">
        <v>89.99</v>
      </c>
      <c r="J40" s="3" t="s">
        <v>41</v>
      </c>
      <c r="K40" s="3" t="s">
        <v>28</v>
      </c>
      <c r="L40" s="3" t="s">
        <v>34</v>
      </c>
      <c r="M40" s="4">
        <v>45120</v>
      </c>
      <c r="N40" s="5">
        <v>269.97000000000003</v>
      </c>
      <c r="O40" s="6">
        <f t="shared" si="0"/>
        <v>45413</v>
      </c>
      <c r="P40" s="4">
        <f t="shared" si="1"/>
        <v>45443</v>
      </c>
      <c r="Q40" s="3">
        <f t="shared" si="2"/>
        <v>0</v>
      </c>
      <c r="R40" s="7">
        <f t="shared" ca="1" si="3"/>
        <v>883</v>
      </c>
      <c r="S40" s="3">
        <f t="shared" si="4"/>
        <v>4</v>
      </c>
      <c r="T40" s="3" t="str">
        <f>IF(COUNTIF($D$2:D40,D40)=1,"First","Repeat")</f>
        <v>First</v>
      </c>
      <c r="U40" s="3" t="str">
        <f>IF(AND($K40=DateTime_Filter!$C$21,$N40&gt;=DateTime_Filter!$C$22),MAX(U$1:U39)+1,"")</f>
        <v/>
      </c>
    </row>
    <row r="41" spans="1:21" x14ac:dyDescent="0.35">
      <c r="A41" s="3" t="s">
        <v>153</v>
      </c>
      <c r="B41" s="4">
        <v>45443</v>
      </c>
      <c r="C41" s="3" t="s">
        <v>154</v>
      </c>
      <c r="D41" s="3" t="s">
        <v>155</v>
      </c>
      <c r="E41" s="3" t="s">
        <v>124</v>
      </c>
      <c r="F41" s="3" t="s">
        <v>125</v>
      </c>
      <c r="G41" s="3" t="s">
        <v>40</v>
      </c>
      <c r="H41" s="3">
        <v>1</v>
      </c>
      <c r="I41" s="5">
        <v>79.989999999999995</v>
      </c>
      <c r="J41" s="3" t="s">
        <v>27</v>
      </c>
      <c r="K41" s="3" t="s">
        <v>47</v>
      </c>
      <c r="L41" s="3" t="s">
        <v>43</v>
      </c>
      <c r="M41" s="4">
        <v>44917</v>
      </c>
      <c r="N41" s="5">
        <v>79.989999999999995</v>
      </c>
      <c r="O41" s="6">
        <f t="shared" si="0"/>
        <v>45413</v>
      </c>
      <c r="P41" s="4">
        <f t="shared" si="1"/>
        <v>45443</v>
      </c>
      <c r="Q41" s="3">
        <f t="shared" si="2"/>
        <v>1</v>
      </c>
      <c r="R41" s="7">
        <f t="shared" ca="1" si="3"/>
        <v>881</v>
      </c>
      <c r="S41" s="3">
        <f t="shared" si="4"/>
        <v>7</v>
      </c>
      <c r="T41" s="3" t="str">
        <f>IF(COUNTIF($D$2:D41,D41)=1,"First","Repeat")</f>
        <v>First</v>
      </c>
      <c r="U41" s="3" t="str">
        <f>IF(AND($K41=DateTime_Filter!$C$21,$N41&gt;=DateTime_Filter!$C$22),MAX(U$1:U40)+1,"")</f>
        <v/>
      </c>
    </row>
    <row r="42" spans="1:21" x14ac:dyDescent="0.35">
      <c r="A42" s="3" t="s">
        <v>156</v>
      </c>
      <c r="B42" s="4">
        <v>45444</v>
      </c>
      <c r="C42" s="3" t="s">
        <v>62</v>
      </c>
      <c r="D42" s="3" t="s">
        <v>63</v>
      </c>
      <c r="E42" s="3" t="s">
        <v>118</v>
      </c>
      <c r="F42" s="3" t="s">
        <v>119</v>
      </c>
      <c r="G42" s="3" t="s">
        <v>26</v>
      </c>
      <c r="H42" s="3">
        <v>1</v>
      </c>
      <c r="I42" s="5">
        <v>89.99</v>
      </c>
      <c r="J42" s="3" t="s">
        <v>27</v>
      </c>
      <c r="K42" s="3" t="s">
        <v>47</v>
      </c>
      <c r="L42" s="3" t="s">
        <v>29</v>
      </c>
      <c r="M42" s="4">
        <v>45141</v>
      </c>
      <c r="N42" s="5">
        <v>89.99</v>
      </c>
      <c r="O42" s="6">
        <f t="shared" si="0"/>
        <v>45444</v>
      </c>
      <c r="P42" s="4">
        <f t="shared" si="1"/>
        <v>45473</v>
      </c>
      <c r="Q42" s="3">
        <f t="shared" si="2"/>
        <v>0</v>
      </c>
      <c r="R42" s="7">
        <f t="shared" ca="1" si="3"/>
        <v>880</v>
      </c>
      <c r="S42" s="3">
        <f t="shared" si="4"/>
        <v>9</v>
      </c>
      <c r="T42" s="3" t="str">
        <f>IF(COUNTIF($D$2:D42,D42)=1,"First","Repeat")</f>
        <v>Repeat</v>
      </c>
      <c r="U42" s="3" t="str">
        <f>IF(AND($K42=DateTime_Filter!$C$21,$N42&gt;=DateTime_Filter!$C$22),MAX(U$1:U41)+1,"")</f>
        <v/>
      </c>
    </row>
    <row r="43" spans="1:21" x14ac:dyDescent="0.35">
      <c r="A43" s="3" t="s">
        <v>157</v>
      </c>
      <c r="B43" s="4">
        <v>45444</v>
      </c>
      <c r="C43" s="3" t="s">
        <v>158</v>
      </c>
      <c r="D43" s="3" t="s">
        <v>159</v>
      </c>
      <c r="E43" s="3" t="s">
        <v>38</v>
      </c>
      <c r="F43" s="3" t="s">
        <v>39</v>
      </c>
      <c r="G43" s="3" t="s">
        <v>40</v>
      </c>
      <c r="H43" s="3">
        <v>2</v>
      </c>
      <c r="I43" s="5">
        <v>59.99</v>
      </c>
      <c r="J43" s="3" t="s">
        <v>27</v>
      </c>
      <c r="K43" s="3" t="s">
        <v>57</v>
      </c>
      <c r="L43" s="3" t="s">
        <v>29</v>
      </c>
      <c r="M43" s="4">
        <v>45390</v>
      </c>
      <c r="N43" s="5">
        <v>119.98</v>
      </c>
      <c r="O43" s="6">
        <f t="shared" si="0"/>
        <v>45444</v>
      </c>
      <c r="P43" s="4">
        <f t="shared" si="1"/>
        <v>45473</v>
      </c>
      <c r="Q43" s="3">
        <f t="shared" si="2"/>
        <v>0</v>
      </c>
      <c r="R43" s="7">
        <f t="shared" ca="1" si="3"/>
        <v>880</v>
      </c>
      <c r="S43" s="3">
        <f t="shared" si="4"/>
        <v>6</v>
      </c>
      <c r="T43" s="3" t="str">
        <f>IF(COUNTIF($D$2:D43,D43)=1,"First","Repeat")</f>
        <v>First</v>
      </c>
      <c r="U43" s="3" t="str">
        <f>IF(AND($K43=DateTime_Filter!$C$21,$N43&gt;=DateTime_Filter!$C$22),MAX(U$1:U42)+1,"")</f>
        <v/>
      </c>
    </row>
    <row r="44" spans="1:21" x14ac:dyDescent="0.35">
      <c r="A44" s="3" t="s">
        <v>160</v>
      </c>
      <c r="B44" s="4">
        <v>45446</v>
      </c>
      <c r="C44" s="3" t="s">
        <v>161</v>
      </c>
      <c r="D44" s="3" t="s">
        <v>162</v>
      </c>
      <c r="E44" s="3" t="s">
        <v>118</v>
      </c>
      <c r="F44" s="3" t="s">
        <v>119</v>
      </c>
      <c r="G44" s="3" t="s">
        <v>26</v>
      </c>
      <c r="H44" s="3">
        <v>5</v>
      </c>
      <c r="I44" s="5">
        <v>89.99</v>
      </c>
      <c r="J44" s="3" t="s">
        <v>33</v>
      </c>
      <c r="K44" s="3" t="s">
        <v>70</v>
      </c>
      <c r="L44" s="3" t="s">
        <v>43</v>
      </c>
      <c r="M44" s="4">
        <v>44587</v>
      </c>
      <c r="N44" s="5">
        <v>449.95</v>
      </c>
      <c r="O44" s="6">
        <f t="shared" si="0"/>
        <v>45444</v>
      </c>
      <c r="P44" s="4">
        <f t="shared" si="1"/>
        <v>45473</v>
      </c>
      <c r="Q44" s="3">
        <f t="shared" si="2"/>
        <v>2</v>
      </c>
      <c r="R44" s="7">
        <f t="shared" ca="1" si="3"/>
        <v>878</v>
      </c>
      <c r="S44" s="3">
        <f t="shared" si="4"/>
        <v>5</v>
      </c>
      <c r="T44" s="3" t="str">
        <f>IF(COUNTIF($D$2:D44,D44)=1,"First","Repeat")</f>
        <v>First</v>
      </c>
      <c r="U44" s="3" t="str">
        <f>IF(AND($K44=DateTime_Filter!$C$21,$N44&gt;=DateTime_Filter!$C$22),MAX(U$1:U43)+1,"")</f>
        <v/>
      </c>
    </row>
    <row r="45" spans="1:21" x14ac:dyDescent="0.35">
      <c r="A45" s="3" t="s">
        <v>163</v>
      </c>
      <c r="B45" s="4">
        <v>45449</v>
      </c>
      <c r="C45" s="3" t="s">
        <v>164</v>
      </c>
      <c r="D45" s="3" t="s">
        <v>165</v>
      </c>
      <c r="E45" s="3" t="s">
        <v>118</v>
      </c>
      <c r="F45" s="3" t="s">
        <v>119</v>
      </c>
      <c r="G45" s="3" t="s">
        <v>26</v>
      </c>
      <c r="H45" s="3">
        <v>1</v>
      </c>
      <c r="I45" s="5">
        <v>89.99</v>
      </c>
      <c r="J45" s="3" t="s">
        <v>33</v>
      </c>
      <c r="K45" s="3" t="s">
        <v>42</v>
      </c>
      <c r="L45" s="3" t="s">
        <v>43</v>
      </c>
      <c r="M45" s="4">
        <v>44582</v>
      </c>
      <c r="N45" s="5">
        <v>89.99</v>
      </c>
      <c r="O45" s="6">
        <f t="shared" si="0"/>
        <v>45444</v>
      </c>
      <c r="P45" s="4">
        <f t="shared" si="1"/>
        <v>45473</v>
      </c>
      <c r="Q45" s="3">
        <f t="shared" si="2"/>
        <v>2</v>
      </c>
      <c r="R45" s="7">
        <f t="shared" ca="1" si="3"/>
        <v>875</v>
      </c>
      <c r="S45" s="3">
        <f t="shared" si="4"/>
        <v>5</v>
      </c>
      <c r="T45" s="3" t="str">
        <f>IF(COUNTIF($D$2:D45,D45)=1,"First","Repeat")</f>
        <v>First</v>
      </c>
      <c r="U45" s="3" t="str">
        <f>IF(AND($K45=DateTime_Filter!$C$21,$N45&gt;=DateTime_Filter!$C$22),MAX(U$1:U44)+1,"")</f>
        <v/>
      </c>
    </row>
    <row r="46" spans="1:21" x14ac:dyDescent="0.35">
      <c r="A46" s="3" t="s">
        <v>166</v>
      </c>
      <c r="B46" s="4">
        <v>45449</v>
      </c>
      <c r="C46" s="3" t="s">
        <v>31</v>
      </c>
      <c r="D46" s="3" t="s">
        <v>32</v>
      </c>
      <c r="E46" s="3" t="s">
        <v>24</v>
      </c>
      <c r="F46" s="3" t="s">
        <v>25</v>
      </c>
      <c r="G46" s="3" t="s">
        <v>26</v>
      </c>
      <c r="H46" s="3">
        <v>5</v>
      </c>
      <c r="I46" s="5">
        <v>249.99</v>
      </c>
      <c r="J46" s="3" t="s">
        <v>33</v>
      </c>
      <c r="K46" s="3" t="s">
        <v>70</v>
      </c>
      <c r="L46" s="3" t="s">
        <v>43</v>
      </c>
      <c r="M46" s="4">
        <v>44707</v>
      </c>
      <c r="N46" s="5">
        <v>1249.95</v>
      </c>
      <c r="O46" s="6">
        <f t="shared" si="0"/>
        <v>45444</v>
      </c>
      <c r="P46" s="4">
        <f t="shared" si="1"/>
        <v>45473</v>
      </c>
      <c r="Q46" s="3">
        <f t="shared" si="2"/>
        <v>2</v>
      </c>
      <c r="R46" s="7">
        <f t="shared" ca="1" si="3"/>
        <v>875</v>
      </c>
      <c r="S46" s="3">
        <f t="shared" si="4"/>
        <v>5</v>
      </c>
      <c r="T46" s="3" t="str">
        <f>IF(COUNTIF($D$2:D46,D46)=1,"First","Repeat")</f>
        <v>Repeat</v>
      </c>
      <c r="U46" s="3" t="str">
        <f>IF(AND($K46=DateTime_Filter!$C$21,$N46&gt;=DateTime_Filter!$C$22),MAX(U$1:U45)+1,"")</f>
        <v/>
      </c>
    </row>
    <row r="47" spans="1:21" x14ac:dyDescent="0.35">
      <c r="A47" s="3" t="s">
        <v>167</v>
      </c>
      <c r="B47" s="4">
        <v>45450</v>
      </c>
      <c r="C47" s="3" t="s">
        <v>49</v>
      </c>
      <c r="D47" s="3" t="s">
        <v>50</v>
      </c>
      <c r="E47" s="3" t="s">
        <v>51</v>
      </c>
      <c r="F47" s="3" t="s">
        <v>52</v>
      </c>
      <c r="G47" s="3" t="s">
        <v>53</v>
      </c>
      <c r="H47" s="3">
        <v>2</v>
      </c>
      <c r="I47" s="5">
        <v>149.99</v>
      </c>
      <c r="J47" s="3" t="s">
        <v>27</v>
      </c>
      <c r="K47" s="3" t="s">
        <v>70</v>
      </c>
      <c r="L47" s="3" t="s">
        <v>34</v>
      </c>
      <c r="M47" s="4">
        <v>44645</v>
      </c>
      <c r="N47" s="5">
        <v>299.98</v>
      </c>
      <c r="O47" s="6">
        <f t="shared" si="0"/>
        <v>45444</v>
      </c>
      <c r="P47" s="4">
        <f t="shared" si="1"/>
        <v>45473</v>
      </c>
      <c r="Q47" s="3">
        <f t="shared" si="2"/>
        <v>2</v>
      </c>
      <c r="R47" s="7">
        <f t="shared" ca="1" si="3"/>
        <v>874</v>
      </c>
      <c r="S47" s="3">
        <f t="shared" si="4"/>
        <v>9</v>
      </c>
      <c r="T47" s="3" t="str">
        <f>IF(COUNTIF($D$2:D47,D47)=1,"First","Repeat")</f>
        <v>Repeat</v>
      </c>
      <c r="U47" s="3" t="str">
        <f>IF(AND($K47=DateTime_Filter!$C$21,$N47&gt;=DateTime_Filter!$C$22),MAX(U$1:U46)+1,"")</f>
        <v/>
      </c>
    </row>
    <row r="48" spans="1:21" x14ac:dyDescent="0.35">
      <c r="A48" s="3" t="s">
        <v>168</v>
      </c>
      <c r="B48" s="4">
        <v>45452</v>
      </c>
      <c r="C48" s="3" t="s">
        <v>169</v>
      </c>
      <c r="D48" s="3" t="s">
        <v>170</v>
      </c>
      <c r="E48" s="3" t="s">
        <v>38</v>
      </c>
      <c r="F48" s="3" t="s">
        <v>39</v>
      </c>
      <c r="G48" s="3" t="s">
        <v>40</v>
      </c>
      <c r="H48" s="3">
        <v>4</v>
      </c>
      <c r="I48" s="5">
        <v>59.99</v>
      </c>
      <c r="J48" s="3" t="s">
        <v>27</v>
      </c>
      <c r="K48" s="3" t="s">
        <v>70</v>
      </c>
      <c r="L48" s="3" t="s">
        <v>43</v>
      </c>
      <c r="M48" s="4">
        <v>44435</v>
      </c>
      <c r="N48" s="5">
        <v>239.96</v>
      </c>
      <c r="O48" s="6">
        <f t="shared" si="0"/>
        <v>45444</v>
      </c>
      <c r="P48" s="4">
        <f t="shared" si="1"/>
        <v>45473</v>
      </c>
      <c r="Q48" s="3">
        <f t="shared" si="2"/>
        <v>2</v>
      </c>
      <c r="R48" s="7">
        <f t="shared" ca="1" si="3"/>
        <v>872</v>
      </c>
      <c r="S48" s="3">
        <f t="shared" si="4"/>
        <v>1</v>
      </c>
      <c r="T48" s="3" t="str">
        <f>IF(COUNTIF($D$2:D48,D48)=1,"First","Repeat")</f>
        <v>First</v>
      </c>
      <c r="U48" s="3" t="str">
        <f>IF(AND($K48=DateTime_Filter!$C$21,$N48&gt;=DateTime_Filter!$C$22),MAX(U$1:U47)+1,"")</f>
        <v/>
      </c>
    </row>
    <row r="49" spans="1:21" x14ac:dyDescent="0.35">
      <c r="A49" s="3" t="s">
        <v>171</v>
      </c>
      <c r="B49" s="4">
        <v>45456</v>
      </c>
      <c r="C49" s="3" t="s">
        <v>136</v>
      </c>
      <c r="D49" s="3" t="s">
        <v>137</v>
      </c>
      <c r="E49" s="3" t="s">
        <v>118</v>
      </c>
      <c r="F49" s="3" t="s">
        <v>119</v>
      </c>
      <c r="G49" s="3" t="s">
        <v>26</v>
      </c>
      <c r="H49" s="3">
        <v>5</v>
      </c>
      <c r="I49" s="5">
        <v>89.99</v>
      </c>
      <c r="J49" s="3" t="s">
        <v>27</v>
      </c>
      <c r="K49" s="3" t="s">
        <v>28</v>
      </c>
      <c r="L49" s="3" t="s">
        <v>34</v>
      </c>
      <c r="M49" s="4">
        <v>44579</v>
      </c>
      <c r="N49" s="5">
        <v>449.95</v>
      </c>
      <c r="O49" s="6">
        <f t="shared" si="0"/>
        <v>45444</v>
      </c>
      <c r="P49" s="4">
        <f t="shared" si="1"/>
        <v>45473</v>
      </c>
      <c r="Q49" s="3">
        <f t="shared" si="2"/>
        <v>2</v>
      </c>
      <c r="R49" s="7">
        <f t="shared" ca="1" si="3"/>
        <v>868</v>
      </c>
      <c r="S49" s="3">
        <f t="shared" si="4"/>
        <v>5</v>
      </c>
      <c r="T49" s="3" t="str">
        <f>IF(COUNTIF($D$2:D49,D49)=1,"First","Repeat")</f>
        <v>Repeat</v>
      </c>
      <c r="U49" s="3" t="str">
        <f>IF(AND($K49=DateTime_Filter!$C$21,$N49&gt;=DateTime_Filter!$C$22),MAX(U$1:U48)+1,"")</f>
        <v/>
      </c>
    </row>
    <row r="50" spans="1:21" x14ac:dyDescent="0.35">
      <c r="A50" s="3" t="s">
        <v>172</v>
      </c>
      <c r="B50" s="4">
        <v>45459</v>
      </c>
      <c r="C50" s="3" t="s">
        <v>133</v>
      </c>
      <c r="D50" s="3" t="s">
        <v>134</v>
      </c>
      <c r="E50" s="3" t="s">
        <v>68</v>
      </c>
      <c r="F50" s="3" t="s">
        <v>69</v>
      </c>
      <c r="G50" s="3" t="s">
        <v>26</v>
      </c>
      <c r="H50" s="3">
        <v>5</v>
      </c>
      <c r="I50" s="5">
        <v>899.99</v>
      </c>
      <c r="J50" s="3" t="s">
        <v>41</v>
      </c>
      <c r="K50" s="3" t="s">
        <v>70</v>
      </c>
      <c r="L50" s="3" t="s">
        <v>34</v>
      </c>
      <c r="M50" s="4">
        <v>45278</v>
      </c>
      <c r="N50" s="5">
        <v>4499.95</v>
      </c>
      <c r="O50" s="6">
        <f t="shared" si="0"/>
        <v>45444</v>
      </c>
      <c r="P50" s="4">
        <f t="shared" si="1"/>
        <v>45473</v>
      </c>
      <c r="Q50" s="3">
        <f t="shared" si="2"/>
        <v>0</v>
      </c>
      <c r="R50" s="7">
        <f t="shared" ca="1" si="3"/>
        <v>865</v>
      </c>
      <c r="S50" s="3">
        <f t="shared" si="4"/>
        <v>6</v>
      </c>
      <c r="T50" s="3" t="str">
        <f>IF(COUNTIF($D$2:D50,D50)=1,"First","Repeat")</f>
        <v>Repeat</v>
      </c>
      <c r="U50" s="3" t="str">
        <f>IF(AND($K50=DateTime_Filter!$C$21,$N50&gt;=DateTime_Filter!$C$22),MAX(U$1:U49)+1,"")</f>
        <v/>
      </c>
    </row>
    <row r="51" spans="1:21" x14ac:dyDescent="0.35">
      <c r="A51" s="3" t="s">
        <v>173</v>
      </c>
      <c r="B51" s="4">
        <v>45459</v>
      </c>
      <c r="C51" s="3" t="s">
        <v>106</v>
      </c>
      <c r="D51" s="3" t="s">
        <v>107</v>
      </c>
      <c r="E51" s="3" t="s">
        <v>118</v>
      </c>
      <c r="F51" s="3" t="s">
        <v>119</v>
      </c>
      <c r="G51" s="3" t="s">
        <v>26</v>
      </c>
      <c r="H51" s="3">
        <v>2</v>
      </c>
      <c r="I51" s="5">
        <v>89.99</v>
      </c>
      <c r="J51" s="3" t="s">
        <v>33</v>
      </c>
      <c r="K51" s="3" t="s">
        <v>42</v>
      </c>
      <c r="L51" s="3" t="s">
        <v>34</v>
      </c>
      <c r="M51" s="4">
        <v>44471</v>
      </c>
      <c r="N51" s="5">
        <v>179.98</v>
      </c>
      <c r="O51" s="6">
        <f t="shared" si="0"/>
        <v>45444</v>
      </c>
      <c r="P51" s="4">
        <f t="shared" si="1"/>
        <v>45473</v>
      </c>
      <c r="Q51" s="3">
        <f t="shared" si="2"/>
        <v>2</v>
      </c>
      <c r="R51" s="7">
        <f t="shared" ca="1" si="3"/>
        <v>865</v>
      </c>
      <c r="S51" s="3">
        <f t="shared" si="4"/>
        <v>8</v>
      </c>
      <c r="T51" s="3" t="str">
        <f>IF(COUNTIF($D$2:D51,D51)=1,"First","Repeat")</f>
        <v>Repeat</v>
      </c>
      <c r="U51" s="3" t="str">
        <f>IF(AND($K51=DateTime_Filter!$C$21,$N51&gt;=DateTime_Filter!$C$22),MAX(U$1:U50)+1,"")</f>
        <v/>
      </c>
    </row>
    <row r="52" spans="1:21" x14ac:dyDescent="0.35">
      <c r="A52" s="3" t="s">
        <v>174</v>
      </c>
      <c r="B52" s="4">
        <v>45459</v>
      </c>
      <c r="C52" s="3" t="s">
        <v>22</v>
      </c>
      <c r="D52" s="3" t="s">
        <v>23</v>
      </c>
      <c r="E52" s="3" t="s">
        <v>68</v>
      </c>
      <c r="F52" s="3" t="s">
        <v>69</v>
      </c>
      <c r="G52" s="3" t="s">
        <v>26</v>
      </c>
      <c r="H52" s="3">
        <v>5</v>
      </c>
      <c r="I52" s="5">
        <v>899.99</v>
      </c>
      <c r="J52" s="3" t="s">
        <v>33</v>
      </c>
      <c r="K52" s="3" t="s">
        <v>42</v>
      </c>
      <c r="L52" s="3" t="s">
        <v>43</v>
      </c>
      <c r="M52" s="4">
        <v>44974</v>
      </c>
      <c r="N52" s="5">
        <v>4499.95</v>
      </c>
      <c r="O52" s="6">
        <f t="shared" si="0"/>
        <v>45444</v>
      </c>
      <c r="P52" s="4">
        <f t="shared" si="1"/>
        <v>45473</v>
      </c>
      <c r="Q52" s="3">
        <f t="shared" si="2"/>
        <v>1</v>
      </c>
      <c r="R52" s="7">
        <f t="shared" ca="1" si="3"/>
        <v>865</v>
      </c>
      <c r="S52" s="3">
        <f t="shared" si="4"/>
        <v>8</v>
      </c>
      <c r="T52" s="3" t="str">
        <f>IF(COUNTIF($D$2:D52,D52)=1,"First","Repeat")</f>
        <v>Repeat</v>
      </c>
      <c r="U52" s="3" t="str">
        <f>IF(AND($K52=DateTime_Filter!$C$21,$N52&gt;=DateTime_Filter!$C$22),MAX(U$1:U51)+1,"")</f>
        <v/>
      </c>
    </row>
    <row r="53" spans="1:21" x14ac:dyDescent="0.35">
      <c r="A53" s="3" t="s">
        <v>175</v>
      </c>
      <c r="B53" s="4">
        <v>45460</v>
      </c>
      <c r="C53" s="3" t="s">
        <v>164</v>
      </c>
      <c r="D53" s="3" t="s">
        <v>165</v>
      </c>
      <c r="E53" s="3" t="s">
        <v>38</v>
      </c>
      <c r="F53" s="3" t="s">
        <v>39</v>
      </c>
      <c r="G53" s="3" t="s">
        <v>40</v>
      </c>
      <c r="H53" s="3">
        <v>1</v>
      </c>
      <c r="I53" s="5">
        <v>59.99</v>
      </c>
      <c r="J53" s="3" t="s">
        <v>64</v>
      </c>
      <c r="K53" s="3" t="s">
        <v>57</v>
      </c>
      <c r="L53" s="3" t="s">
        <v>34</v>
      </c>
      <c r="M53" s="4">
        <v>45190</v>
      </c>
      <c r="N53" s="5">
        <v>59.99</v>
      </c>
      <c r="O53" s="6">
        <f t="shared" si="0"/>
        <v>45444</v>
      </c>
      <c r="P53" s="4">
        <f t="shared" si="1"/>
        <v>45473</v>
      </c>
      <c r="Q53" s="3">
        <f t="shared" si="2"/>
        <v>0</v>
      </c>
      <c r="R53" s="7">
        <f t="shared" ca="1" si="3"/>
        <v>864</v>
      </c>
      <c r="S53" s="3">
        <f t="shared" si="4"/>
        <v>5</v>
      </c>
      <c r="T53" s="3" t="str">
        <f>IF(COUNTIF($D$2:D53,D53)=1,"First","Repeat")</f>
        <v>Repeat</v>
      </c>
      <c r="U53" s="3" t="str">
        <f>IF(AND($K53=DateTime_Filter!$C$21,$N53&gt;=DateTime_Filter!$C$22),MAX(U$1:U52)+1,"")</f>
        <v/>
      </c>
    </row>
    <row r="54" spans="1:21" x14ac:dyDescent="0.35">
      <c r="A54" s="3" t="s">
        <v>176</v>
      </c>
      <c r="B54" s="4">
        <v>45460</v>
      </c>
      <c r="C54" s="3" t="s">
        <v>148</v>
      </c>
      <c r="D54" s="3" t="s">
        <v>149</v>
      </c>
      <c r="E54" s="3" t="s">
        <v>112</v>
      </c>
      <c r="F54" s="3" t="s">
        <v>113</v>
      </c>
      <c r="G54" s="3" t="s">
        <v>53</v>
      </c>
      <c r="H54" s="3">
        <v>2</v>
      </c>
      <c r="I54" s="5">
        <v>299.99</v>
      </c>
      <c r="J54" s="3" t="s">
        <v>64</v>
      </c>
      <c r="K54" s="3" t="s">
        <v>70</v>
      </c>
      <c r="L54" s="3" t="s">
        <v>43</v>
      </c>
      <c r="M54" s="4">
        <v>45253</v>
      </c>
      <c r="N54" s="5">
        <v>599.98</v>
      </c>
      <c r="O54" s="6">
        <f t="shared" si="0"/>
        <v>45444</v>
      </c>
      <c r="P54" s="4">
        <f t="shared" si="1"/>
        <v>45473</v>
      </c>
      <c r="Q54" s="3">
        <f t="shared" si="2"/>
        <v>0</v>
      </c>
      <c r="R54" s="7">
        <f t="shared" ca="1" si="3"/>
        <v>864</v>
      </c>
      <c r="S54" s="3">
        <f t="shared" si="4"/>
        <v>4</v>
      </c>
      <c r="T54" s="3" t="str">
        <f>IF(COUNTIF($D$2:D54,D54)=1,"First","Repeat")</f>
        <v>Repeat</v>
      </c>
      <c r="U54" s="3" t="str">
        <f>IF(AND($K54=DateTime_Filter!$C$21,$N54&gt;=DateTime_Filter!$C$22),MAX(U$1:U53)+1,"")</f>
        <v/>
      </c>
    </row>
    <row r="55" spans="1:21" x14ac:dyDescent="0.35">
      <c r="A55" s="3" t="s">
        <v>177</v>
      </c>
      <c r="B55" s="4">
        <v>45468</v>
      </c>
      <c r="C55" s="3" t="s">
        <v>178</v>
      </c>
      <c r="D55" s="3" t="s">
        <v>179</v>
      </c>
      <c r="E55" s="3" t="s">
        <v>118</v>
      </c>
      <c r="F55" s="3" t="s">
        <v>119</v>
      </c>
      <c r="G55" s="3" t="s">
        <v>26</v>
      </c>
      <c r="H55" s="3">
        <v>4</v>
      </c>
      <c r="I55" s="5">
        <v>89.99</v>
      </c>
      <c r="J55" s="3" t="s">
        <v>64</v>
      </c>
      <c r="K55" s="3" t="s">
        <v>42</v>
      </c>
      <c r="L55" s="3" t="s">
        <v>29</v>
      </c>
      <c r="M55" s="4">
        <v>45281</v>
      </c>
      <c r="N55" s="5">
        <v>359.96</v>
      </c>
      <c r="O55" s="6">
        <f t="shared" si="0"/>
        <v>45444</v>
      </c>
      <c r="P55" s="4">
        <f t="shared" si="1"/>
        <v>45473</v>
      </c>
      <c r="Q55" s="3">
        <f t="shared" si="2"/>
        <v>0</v>
      </c>
      <c r="R55" s="7">
        <f t="shared" ca="1" si="3"/>
        <v>856</v>
      </c>
      <c r="S55" s="3">
        <f t="shared" si="4"/>
        <v>4</v>
      </c>
      <c r="T55" s="3" t="str">
        <f>IF(COUNTIF($D$2:D55,D55)=1,"First","Repeat")</f>
        <v>First</v>
      </c>
      <c r="U55" s="3" t="str">
        <f>IF(AND($K55=DateTime_Filter!$C$21,$N55&gt;=DateTime_Filter!$C$22),MAX(U$1:U54)+1,"")</f>
        <v/>
      </c>
    </row>
    <row r="56" spans="1:21" x14ac:dyDescent="0.35">
      <c r="A56" s="3" t="s">
        <v>180</v>
      </c>
      <c r="B56" s="4">
        <v>45469</v>
      </c>
      <c r="C56" s="3" t="s">
        <v>66</v>
      </c>
      <c r="D56" s="3" t="s">
        <v>67</v>
      </c>
      <c r="E56" s="3" t="s">
        <v>118</v>
      </c>
      <c r="F56" s="3" t="s">
        <v>119</v>
      </c>
      <c r="G56" s="3" t="s">
        <v>26</v>
      </c>
      <c r="H56" s="3">
        <v>2</v>
      </c>
      <c r="I56" s="5">
        <v>89.99</v>
      </c>
      <c r="J56" s="3" t="s">
        <v>27</v>
      </c>
      <c r="K56" s="3" t="s">
        <v>57</v>
      </c>
      <c r="L56" s="3" t="s">
        <v>29</v>
      </c>
      <c r="M56" s="4">
        <v>44438</v>
      </c>
      <c r="N56" s="5">
        <v>179.98</v>
      </c>
      <c r="O56" s="6">
        <f t="shared" si="0"/>
        <v>45444</v>
      </c>
      <c r="P56" s="4">
        <f t="shared" si="1"/>
        <v>45473</v>
      </c>
      <c r="Q56" s="3">
        <f t="shared" si="2"/>
        <v>2</v>
      </c>
      <c r="R56" s="7">
        <f t="shared" ca="1" si="3"/>
        <v>855</v>
      </c>
      <c r="S56" s="3">
        <f t="shared" si="4"/>
        <v>5</v>
      </c>
      <c r="T56" s="3" t="str">
        <f>IF(COUNTIF($D$2:D56,D56)=1,"First","Repeat")</f>
        <v>Repeat</v>
      </c>
      <c r="U56" s="3" t="str">
        <f>IF(AND($K56=DateTime_Filter!$C$21,$N56&gt;=DateTime_Filter!$C$22),MAX(U$1:U55)+1,"")</f>
        <v/>
      </c>
    </row>
    <row r="57" spans="1:21" x14ac:dyDescent="0.35">
      <c r="A57" s="3" t="s">
        <v>181</v>
      </c>
      <c r="B57" s="4">
        <v>45469</v>
      </c>
      <c r="C57" s="3" t="s">
        <v>36</v>
      </c>
      <c r="D57" s="3" t="s">
        <v>37</v>
      </c>
      <c r="E57" s="3" t="s">
        <v>124</v>
      </c>
      <c r="F57" s="3" t="s">
        <v>125</v>
      </c>
      <c r="G57" s="3" t="s">
        <v>40</v>
      </c>
      <c r="H57" s="3">
        <v>1</v>
      </c>
      <c r="I57" s="5">
        <v>79.989999999999995</v>
      </c>
      <c r="J57" s="3" t="s">
        <v>41</v>
      </c>
      <c r="K57" s="3" t="s">
        <v>28</v>
      </c>
      <c r="L57" s="3" t="s">
        <v>34</v>
      </c>
      <c r="M57" s="4">
        <v>45352</v>
      </c>
      <c r="N57" s="5">
        <v>79.989999999999995</v>
      </c>
      <c r="O57" s="6">
        <f t="shared" si="0"/>
        <v>45444</v>
      </c>
      <c r="P57" s="4">
        <f t="shared" si="1"/>
        <v>45473</v>
      </c>
      <c r="Q57" s="3">
        <f t="shared" si="2"/>
        <v>0</v>
      </c>
      <c r="R57" s="7">
        <f t="shared" ca="1" si="3"/>
        <v>855</v>
      </c>
      <c r="S57" s="3">
        <f t="shared" si="4"/>
        <v>6</v>
      </c>
      <c r="T57" s="3" t="str">
        <f>IF(COUNTIF($D$2:D57,D57)=1,"First","Repeat")</f>
        <v>Repeat</v>
      </c>
      <c r="U57" s="3" t="str">
        <f>IF(AND($K57=DateTime_Filter!$C$21,$N57&gt;=DateTime_Filter!$C$22),MAX(U$1:U56)+1,"")</f>
        <v/>
      </c>
    </row>
    <row r="58" spans="1:21" x14ac:dyDescent="0.35">
      <c r="A58" s="3" t="s">
        <v>182</v>
      </c>
      <c r="B58" s="4">
        <v>45471</v>
      </c>
      <c r="C58" s="3" t="s">
        <v>106</v>
      </c>
      <c r="D58" s="3" t="s">
        <v>107</v>
      </c>
      <c r="E58" s="3" t="s">
        <v>68</v>
      </c>
      <c r="F58" s="3" t="s">
        <v>69</v>
      </c>
      <c r="G58" s="3" t="s">
        <v>26</v>
      </c>
      <c r="H58" s="3">
        <v>4</v>
      </c>
      <c r="I58" s="5">
        <v>899.99</v>
      </c>
      <c r="J58" s="3" t="s">
        <v>33</v>
      </c>
      <c r="K58" s="3" t="s">
        <v>70</v>
      </c>
      <c r="L58" s="3" t="s">
        <v>34</v>
      </c>
      <c r="M58" s="4">
        <v>44993</v>
      </c>
      <c r="N58" s="5">
        <v>3599.96</v>
      </c>
      <c r="O58" s="6">
        <f t="shared" si="0"/>
        <v>45444</v>
      </c>
      <c r="P58" s="4">
        <f t="shared" si="1"/>
        <v>45473</v>
      </c>
      <c r="Q58" s="3">
        <f t="shared" si="2"/>
        <v>1</v>
      </c>
      <c r="R58" s="7">
        <f t="shared" ca="1" si="3"/>
        <v>853</v>
      </c>
      <c r="S58" s="3">
        <f t="shared" si="4"/>
        <v>8</v>
      </c>
      <c r="T58" s="3" t="str">
        <f>IF(COUNTIF($D$2:D58,D58)=1,"First","Repeat")</f>
        <v>Repeat</v>
      </c>
      <c r="U58" s="3" t="str">
        <f>IF(AND($K58=DateTime_Filter!$C$21,$N58&gt;=DateTime_Filter!$C$22),MAX(U$1:U57)+1,"")</f>
        <v/>
      </c>
    </row>
    <row r="59" spans="1:21" x14ac:dyDescent="0.35">
      <c r="A59" s="3" t="s">
        <v>183</v>
      </c>
      <c r="B59" s="4">
        <v>45471</v>
      </c>
      <c r="C59" s="3" t="s">
        <v>45</v>
      </c>
      <c r="D59" s="3" t="s">
        <v>46</v>
      </c>
      <c r="E59" s="3" t="s">
        <v>87</v>
      </c>
      <c r="F59" s="3" t="s">
        <v>88</v>
      </c>
      <c r="G59" s="3" t="s">
        <v>26</v>
      </c>
      <c r="H59" s="3">
        <v>3</v>
      </c>
      <c r="I59" s="5">
        <v>699.99</v>
      </c>
      <c r="J59" s="3" t="s">
        <v>33</v>
      </c>
      <c r="K59" s="3" t="s">
        <v>70</v>
      </c>
      <c r="L59" s="3" t="s">
        <v>34</v>
      </c>
      <c r="M59" s="4">
        <v>45102</v>
      </c>
      <c r="N59" s="5">
        <v>2099.9699999999998</v>
      </c>
      <c r="O59" s="6">
        <f t="shared" si="0"/>
        <v>45444</v>
      </c>
      <c r="P59" s="4">
        <f t="shared" si="1"/>
        <v>45473</v>
      </c>
      <c r="Q59" s="3">
        <f t="shared" si="2"/>
        <v>1</v>
      </c>
      <c r="R59" s="7">
        <f t="shared" ca="1" si="3"/>
        <v>853</v>
      </c>
      <c r="S59" s="3">
        <f t="shared" si="4"/>
        <v>6</v>
      </c>
      <c r="T59" s="3" t="str">
        <f>IF(COUNTIF($D$2:D59,D59)=1,"First","Repeat")</f>
        <v>Repeat</v>
      </c>
      <c r="U59" s="3" t="str">
        <f>IF(AND($K59=DateTime_Filter!$C$21,$N59&gt;=DateTime_Filter!$C$22),MAX(U$1:U58)+1,"")</f>
        <v/>
      </c>
    </row>
    <row r="60" spans="1:21" x14ac:dyDescent="0.35">
      <c r="A60" s="3" t="s">
        <v>184</v>
      </c>
      <c r="B60" s="4">
        <v>45472</v>
      </c>
      <c r="C60" s="3" t="s">
        <v>127</v>
      </c>
      <c r="D60" s="3" t="s">
        <v>128</v>
      </c>
      <c r="E60" s="3" t="s">
        <v>51</v>
      </c>
      <c r="F60" s="3" t="s">
        <v>52</v>
      </c>
      <c r="G60" s="3" t="s">
        <v>53</v>
      </c>
      <c r="H60" s="3">
        <v>1</v>
      </c>
      <c r="I60" s="5">
        <v>149.99</v>
      </c>
      <c r="J60" s="3" t="s">
        <v>41</v>
      </c>
      <c r="K60" s="3" t="s">
        <v>70</v>
      </c>
      <c r="L60" s="3" t="s">
        <v>29</v>
      </c>
      <c r="M60" s="4">
        <v>44851</v>
      </c>
      <c r="N60" s="5">
        <v>149.99</v>
      </c>
      <c r="O60" s="6">
        <f t="shared" si="0"/>
        <v>45444</v>
      </c>
      <c r="P60" s="4">
        <f t="shared" si="1"/>
        <v>45473</v>
      </c>
      <c r="Q60" s="3">
        <f t="shared" si="2"/>
        <v>1</v>
      </c>
      <c r="R60" s="7">
        <f t="shared" ca="1" si="3"/>
        <v>852</v>
      </c>
      <c r="S60" s="3">
        <f t="shared" si="4"/>
        <v>7</v>
      </c>
      <c r="T60" s="3" t="str">
        <f>IF(COUNTIF($D$2:D60,D60)=1,"First","Repeat")</f>
        <v>Repeat</v>
      </c>
      <c r="U60" s="3" t="str">
        <f>IF(AND($K60=DateTime_Filter!$C$21,$N60&gt;=DateTime_Filter!$C$22),MAX(U$1:U59)+1,"")</f>
        <v/>
      </c>
    </row>
    <row r="61" spans="1:21" x14ac:dyDescent="0.35">
      <c r="A61" s="3" t="s">
        <v>185</v>
      </c>
      <c r="B61" s="4">
        <v>45474</v>
      </c>
      <c r="C61" s="3" t="s">
        <v>139</v>
      </c>
      <c r="D61" s="3" t="s">
        <v>140</v>
      </c>
      <c r="E61" s="3" t="s">
        <v>118</v>
      </c>
      <c r="F61" s="3" t="s">
        <v>119</v>
      </c>
      <c r="G61" s="3" t="s">
        <v>26</v>
      </c>
      <c r="H61" s="3">
        <v>2</v>
      </c>
      <c r="I61" s="5">
        <v>89.99</v>
      </c>
      <c r="J61" s="3" t="s">
        <v>41</v>
      </c>
      <c r="K61" s="3" t="s">
        <v>28</v>
      </c>
      <c r="L61" s="3" t="s">
        <v>34</v>
      </c>
      <c r="M61" s="4">
        <v>45275</v>
      </c>
      <c r="N61" s="5">
        <v>179.98</v>
      </c>
      <c r="O61" s="6">
        <f t="shared" si="0"/>
        <v>45474</v>
      </c>
      <c r="P61" s="4">
        <f t="shared" si="1"/>
        <v>45504</v>
      </c>
      <c r="Q61" s="3">
        <f t="shared" si="2"/>
        <v>0</v>
      </c>
      <c r="R61" s="7">
        <f t="shared" ca="1" si="3"/>
        <v>850</v>
      </c>
      <c r="S61" s="3">
        <f t="shared" si="4"/>
        <v>5</v>
      </c>
      <c r="T61" s="3" t="str">
        <f>IF(COUNTIF($D$2:D61,D61)=1,"First","Repeat")</f>
        <v>Repeat</v>
      </c>
      <c r="U61" s="3" t="str">
        <f>IF(AND($K61=DateTime_Filter!$C$21,$N61&gt;=DateTime_Filter!$C$22),MAX(U$1:U60)+1,"")</f>
        <v/>
      </c>
    </row>
    <row r="62" spans="1:21" x14ac:dyDescent="0.35">
      <c r="A62" s="3" t="s">
        <v>186</v>
      </c>
      <c r="B62" s="4">
        <v>45475</v>
      </c>
      <c r="C62" s="3" t="s">
        <v>62</v>
      </c>
      <c r="D62" s="3" t="s">
        <v>63</v>
      </c>
      <c r="E62" s="3" t="s">
        <v>118</v>
      </c>
      <c r="F62" s="3" t="s">
        <v>119</v>
      </c>
      <c r="G62" s="3" t="s">
        <v>26</v>
      </c>
      <c r="H62" s="3">
        <v>1</v>
      </c>
      <c r="I62" s="5">
        <v>89.99</v>
      </c>
      <c r="J62" s="3" t="s">
        <v>41</v>
      </c>
      <c r="K62" s="3" t="s">
        <v>57</v>
      </c>
      <c r="L62" s="3" t="s">
        <v>43</v>
      </c>
      <c r="M62" s="4">
        <v>44802</v>
      </c>
      <c r="N62" s="5">
        <v>89.99</v>
      </c>
      <c r="O62" s="6">
        <f t="shared" si="0"/>
        <v>45474</v>
      </c>
      <c r="P62" s="4">
        <f t="shared" si="1"/>
        <v>45504</v>
      </c>
      <c r="Q62" s="3">
        <f t="shared" si="2"/>
        <v>1</v>
      </c>
      <c r="R62" s="7">
        <f t="shared" ca="1" si="3"/>
        <v>849</v>
      </c>
      <c r="S62" s="3">
        <f t="shared" si="4"/>
        <v>9</v>
      </c>
      <c r="T62" s="3" t="str">
        <f>IF(COUNTIF($D$2:D62,D62)=1,"First","Repeat")</f>
        <v>Repeat</v>
      </c>
      <c r="U62" s="3" t="str">
        <f>IF(AND($K62=DateTime_Filter!$C$21,$N62&gt;=DateTime_Filter!$C$22),MAX(U$1:U61)+1,"")</f>
        <v/>
      </c>
    </row>
    <row r="63" spans="1:21" x14ac:dyDescent="0.35">
      <c r="A63" s="3" t="s">
        <v>187</v>
      </c>
      <c r="B63" s="4">
        <v>45476</v>
      </c>
      <c r="C63" s="3" t="s">
        <v>72</v>
      </c>
      <c r="D63" s="3" t="s">
        <v>73</v>
      </c>
      <c r="E63" s="3" t="s">
        <v>118</v>
      </c>
      <c r="F63" s="3" t="s">
        <v>119</v>
      </c>
      <c r="G63" s="3" t="s">
        <v>26</v>
      </c>
      <c r="H63" s="3">
        <v>1</v>
      </c>
      <c r="I63" s="5">
        <v>89.99</v>
      </c>
      <c r="J63" s="3" t="s">
        <v>27</v>
      </c>
      <c r="K63" s="3" t="s">
        <v>42</v>
      </c>
      <c r="L63" s="3" t="s">
        <v>43</v>
      </c>
      <c r="M63" s="4">
        <v>44611</v>
      </c>
      <c r="N63" s="5">
        <v>89.99</v>
      </c>
      <c r="O63" s="6">
        <f t="shared" si="0"/>
        <v>45474</v>
      </c>
      <c r="P63" s="4">
        <f t="shared" si="1"/>
        <v>45504</v>
      </c>
      <c r="Q63" s="3">
        <f t="shared" si="2"/>
        <v>2</v>
      </c>
      <c r="R63" s="7">
        <f t="shared" ca="1" si="3"/>
        <v>848</v>
      </c>
      <c r="S63" s="3">
        <f t="shared" si="4"/>
        <v>4</v>
      </c>
      <c r="T63" s="3" t="str">
        <f>IF(COUNTIF($D$2:D63,D63)=1,"First","Repeat")</f>
        <v>Repeat</v>
      </c>
      <c r="U63" s="3" t="str">
        <f>IF(AND($K63=DateTime_Filter!$C$21,$N63&gt;=DateTime_Filter!$C$22),MAX(U$1:U62)+1,"")</f>
        <v/>
      </c>
    </row>
    <row r="64" spans="1:21" x14ac:dyDescent="0.35">
      <c r="A64" s="3" t="s">
        <v>188</v>
      </c>
      <c r="B64" s="4">
        <v>45476</v>
      </c>
      <c r="C64" s="3" t="s">
        <v>189</v>
      </c>
      <c r="D64" s="3" t="s">
        <v>190</v>
      </c>
      <c r="E64" s="3" t="s">
        <v>124</v>
      </c>
      <c r="F64" s="3" t="s">
        <v>125</v>
      </c>
      <c r="G64" s="3" t="s">
        <v>40</v>
      </c>
      <c r="H64" s="3">
        <v>5</v>
      </c>
      <c r="I64" s="5">
        <v>79.989999999999995</v>
      </c>
      <c r="J64" s="3" t="s">
        <v>64</v>
      </c>
      <c r="K64" s="3" t="s">
        <v>28</v>
      </c>
      <c r="L64" s="3" t="s">
        <v>29</v>
      </c>
      <c r="M64" s="4">
        <v>44981</v>
      </c>
      <c r="N64" s="5">
        <v>399.95</v>
      </c>
      <c r="O64" s="6">
        <f t="shared" si="0"/>
        <v>45474</v>
      </c>
      <c r="P64" s="4">
        <f t="shared" si="1"/>
        <v>45504</v>
      </c>
      <c r="Q64" s="3">
        <f t="shared" si="2"/>
        <v>1</v>
      </c>
      <c r="R64" s="7">
        <f t="shared" ca="1" si="3"/>
        <v>848</v>
      </c>
      <c r="S64" s="3">
        <f t="shared" si="4"/>
        <v>6</v>
      </c>
      <c r="T64" s="3" t="str">
        <f>IF(COUNTIF($D$2:D64,D64)=1,"First","Repeat")</f>
        <v>First</v>
      </c>
      <c r="U64" s="3" t="str">
        <f>IF(AND($K64=DateTime_Filter!$C$21,$N64&gt;=DateTime_Filter!$C$22),MAX(U$1:U63)+1,"")</f>
        <v/>
      </c>
    </row>
    <row r="65" spans="1:21" x14ac:dyDescent="0.35">
      <c r="A65" s="3" t="s">
        <v>191</v>
      </c>
      <c r="B65" s="4">
        <v>45481</v>
      </c>
      <c r="C65" s="3" t="s">
        <v>192</v>
      </c>
      <c r="D65" s="3" t="s">
        <v>193</v>
      </c>
      <c r="E65" s="3" t="s">
        <v>51</v>
      </c>
      <c r="F65" s="3" t="s">
        <v>52</v>
      </c>
      <c r="G65" s="3" t="s">
        <v>53</v>
      </c>
      <c r="H65" s="3">
        <v>1</v>
      </c>
      <c r="I65" s="5">
        <v>149.99</v>
      </c>
      <c r="J65" s="3" t="s">
        <v>41</v>
      </c>
      <c r="K65" s="3" t="s">
        <v>47</v>
      </c>
      <c r="L65" s="3" t="s">
        <v>29</v>
      </c>
      <c r="M65" s="4">
        <v>44421</v>
      </c>
      <c r="N65" s="5">
        <v>149.99</v>
      </c>
      <c r="O65" s="6">
        <f t="shared" si="0"/>
        <v>45474</v>
      </c>
      <c r="P65" s="4">
        <f t="shared" si="1"/>
        <v>45504</v>
      </c>
      <c r="Q65" s="3">
        <f t="shared" si="2"/>
        <v>2</v>
      </c>
      <c r="R65" s="7">
        <f t="shared" ca="1" si="3"/>
        <v>843</v>
      </c>
      <c r="S65" s="3">
        <f t="shared" si="4"/>
        <v>4</v>
      </c>
      <c r="T65" s="3" t="str">
        <f>IF(COUNTIF($D$2:D65,D65)=1,"First","Repeat")</f>
        <v>First</v>
      </c>
      <c r="U65" s="3" t="str">
        <f>IF(AND($K65=DateTime_Filter!$C$21,$N65&gt;=DateTime_Filter!$C$22),MAX(U$1:U64)+1,"")</f>
        <v/>
      </c>
    </row>
    <row r="66" spans="1:21" x14ac:dyDescent="0.35">
      <c r="A66" s="3" t="s">
        <v>194</v>
      </c>
      <c r="B66" s="4">
        <v>45481</v>
      </c>
      <c r="C66" s="3" t="s">
        <v>49</v>
      </c>
      <c r="D66" s="3" t="s">
        <v>50</v>
      </c>
      <c r="E66" s="3" t="s">
        <v>87</v>
      </c>
      <c r="F66" s="3" t="s">
        <v>88</v>
      </c>
      <c r="G66" s="3" t="s">
        <v>26</v>
      </c>
      <c r="H66" s="3">
        <v>2</v>
      </c>
      <c r="I66" s="5">
        <v>699.99</v>
      </c>
      <c r="J66" s="3" t="s">
        <v>41</v>
      </c>
      <c r="K66" s="3" t="s">
        <v>70</v>
      </c>
      <c r="L66" s="3" t="s">
        <v>34</v>
      </c>
      <c r="M66" s="4">
        <v>45389</v>
      </c>
      <c r="N66" s="5">
        <v>1399.98</v>
      </c>
      <c r="O66" s="6">
        <f t="shared" ref="O66:O129" si="5">EOMONTH(B66,-1)+1</f>
        <v>45474</v>
      </c>
      <c r="P66" s="4">
        <f t="shared" ref="P66:P129" si="6">EOMONTH(B66,0)</f>
        <v>45504</v>
      </c>
      <c r="Q66" s="3">
        <f t="shared" ref="Q66:Q129" si="7">IFERROR(DATEDIF(M66,B66,"Y"),0)</f>
        <v>0</v>
      </c>
      <c r="R66" s="7">
        <f t="shared" ref="R66:R129" ca="1" si="8">TODAY()-B66</f>
        <v>843</v>
      </c>
      <c r="S66" s="3">
        <f t="shared" ref="S66:S129" si="9">COUNTIF($D$2:$D$251,D66)</f>
        <v>9</v>
      </c>
      <c r="T66" s="3" t="str">
        <f>IF(COUNTIF($D$2:D66,D66)=1,"First","Repeat")</f>
        <v>Repeat</v>
      </c>
      <c r="U66" s="3" t="str">
        <f>IF(AND($K66=DateTime_Filter!$C$21,$N66&gt;=DateTime_Filter!$C$22),MAX(U$1:U65)+1,"")</f>
        <v/>
      </c>
    </row>
    <row r="67" spans="1:21" x14ac:dyDescent="0.35">
      <c r="A67" s="3" t="s">
        <v>195</v>
      </c>
      <c r="B67" s="4">
        <v>45481</v>
      </c>
      <c r="C67" s="3" t="s">
        <v>103</v>
      </c>
      <c r="D67" s="3" t="s">
        <v>104</v>
      </c>
      <c r="E67" s="3" t="s">
        <v>118</v>
      </c>
      <c r="F67" s="3" t="s">
        <v>119</v>
      </c>
      <c r="G67" s="3" t="s">
        <v>26</v>
      </c>
      <c r="H67" s="3">
        <v>5</v>
      </c>
      <c r="I67" s="5">
        <v>89.99</v>
      </c>
      <c r="J67" s="3" t="s">
        <v>64</v>
      </c>
      <c r="K67" s="3" t="s">
        <v>47</v>
      </c>
      <c r="L67" s="3" t="s">
        <v>34</v>
      </c>
      <c r="M67" s="4">
        <v>45161</v>
      </c>
      <c r="N67" s="5">
        <v>449.95</v>
      </c>
      <c r="O67" s="6">
        <f t="shared" si="5"/>
        <v>45474</v>
      </c>
      <c r="P67" s="4">
        <f t="shared" si="6"/>
        <v>45504</v>
      </c>
      <c r="Q67" s="3">
        <f t="shared" si="7"/>
        <v>0</v>
      </c>
      <c r="R67" s="7">
        <f t="shared" ca="1" si="8"/>
        <v>843</v>
      </c>
      <c r="S67" s="3">
        <f t="shared" si="9"/>
        <v>5</v>
      </c>
      <c r="T67" s="3" t="str">
        <f>IF(COUNTIF($D$2:D67,D67)=1,"First","Repeat")</f>
        <v>Repeat</v>
      </c>
      <c r="U67" s="3" t="str">
        <f>IF(AND($K67=DateTime_Filter!$C$21,$N67&gt;=DateTime_Filter!$C$22),MAX(U$1:U66)+1,"")</f>
        <v/>
      </c>
    </row>
    <row r="68" spans="1:21" x14ac:dyDescent="0.35">
      <c r="A68" s="3" t="s">
        <v>196</v>
      </c>
      <c r="B68" s="4">
        <v>45482</v>
      </c>
      <c r="C68" s="3" t="s">
        <v>178</v>
      </c>
      <c r="D68" s="3" t="s">
        <v>179</v>
      </c>
      <c r="E68" s="3" t="s">
        <v>38</v>
      </c>
      <c r="F68" s="3" t="s">
        <v>39</v>
      </c>
      <c r="G68" s="3" t="s">
        <v>40</v>
      </c>
      <c r="H68" s="3">
        <v>4</v>
      </c>
      <c r="I68" s="5">
        <v>59.99</v>
      </c>
      <c r="J68" s="3" t="s">
        <v>27</v>
      </c>
      <c r="K68" s="3" t="s">
        <v>42</v>
      </c>
      <c r="L68" s="3" t="s">
        <v>43</v>
      </c>
      <c r="M68" s="4">
        <v>44509</v>
      </c>
      <c r="N68" s="5">
        <v>239.96</v>
      </c>
      <c r="O68" s="6">
        <f t="shared" si="5"/>
        <v>45474</v>
      </c>
      <c r="P68" s="4">
        <f t="shared" si="6"/>
        <v>45504</v>
      </c>
      <c r="Q68" s="3">
        <f t="shared" si="7"/>
        <v>2</v>
      </c>
      <c r="R68" s="7">
        <f t="shared" ca="1" si="8"/>
        <v>842</v>
      </c>
      <c r="S68" s="3">
        <f t="shared" si="9"/>
        <v>4</v>
      </c>
      <c r="T68" s="3" t="str">
        <f>IF(COUNTIF($D$2:D68,D68)=1,"First","Repeat")</f>
        <v>Repeat</v>
      </c>
      <c r="U68" s="3" t="str">
        <f>IF(AND($K68=DateTime_Filter!$C$21,$N68&gt;=DateTime_Filter!$C$22),MAX(U$1:U67)+1,"")</f>
        <v/>
      </c>
    </row>
    <row r="69" spans="1:21" x14ac:dyDescent="0.35">
      <c r="A69" s="3" t="s">
        <v>197</v>
      </c>
      <c r="B69" s="4">
        <v>45484</v>
      </c>
      <c r="C69" s="3" t="s">
        <v>31</v>
      </c>
      <c r="D69" s="3" t="s">
        <v>32</v>
      </c>
      <c r="E69" s="3" t="s">
        <v>59</v>
      </c>
      <c r="F69" s="3" t="s">
        <v>60</v>
      </c>
      <c r="G69" s="3" t="s">
        <v>26</v>
      </c>
      <c r="H69" s="3">
        <v>1</v>
      </c>
      <c r="I69" s="5">
        <v>149.99</v>
      </c>
      <c r="J69" s="3" t="s">
        <v>27</v>
      </c>
      <c r="K69" s="3" t="s">
        <v>28</v>
      </c>
      <c r="L69" s="3" t="s">
        <v>43</v>
      </c>
      <c r="M69" s="4">
        <v>44909</v>
      </c>
      <c r="N69" s="5">
        <v>149.99</v>
      </c>
      <c r="O69" s="6">
        <f t="shared" si="5"/>
        <v>45474</v>
      </c>
      <c r="P69" s="4">
        <f t="shared" si="6"/>
        <v>45504</v>
      </c>
      <c r="Q69" s="3">
        <f t="shared" si="7"/>
        <v>1</v>
      </c>
      <c r="R69" s="7">
        <f t="shared" ca="1" si="8"/>
        <v>840</v>
      </c>
      <c r="S69" s="3">
        <f t="shared" si="9"/>
        <v>5</v>
      </c>
      <c r="T69" s="3" t="str">
        <f>IF(COUNTIF($D$2:D69,D69)=1,"First","Repeat")</f>
        <v>Repeat</v>
      </c>
      <c r="U69" s="3" t="str">
        <f>IF(AND($K69=DateTime_Filter!$C$21,$N69&gt;=DateTime_Filter!$C$22),MAX(U$1:U68)+1,"")</f>
        <v/>
      </c>
    </row>
    <row r="70" spans="1:21" x14ac:dyDescent="0.35">
      <c r="A70" s="3" t="s">
        <v>198</v>
      </c>
      <c r="B70" s="4">
        <v>45484</v>
      </c>
      <c r="C70" s="3" t="s">
        <v>199</v>
      </c>
      <c r="D70" s="3" t="s">
        <v>200</v>
      </c>
      <c r="E70" s="3" t="s">
        <v>112</v>
      </c>
      <c r="F70" s="3" t="s">
        <v>113</v>
      </c>
      <c r="G70" s="3" t="s">
        <v>53</v>
      </c>
      <c r="H70" s="3">
        <v>1</v>
      </c>
      <c r="I70" s="5">
        <v>299.99</v>
      </c>
      <c r="J70" s="3" t="s">
        <v>33</v>
      </c>
      <c r="K70" s="3" t="s">
        <v>47</v>
      </c>
      <c r="L70" s="3" t="s">
        <v>34</v>
      </c>
      <c r="M70" s="4">
        <v>44891</v>
      </c>
      <c r="N70" s="5">
        <v>299.99</v>
      </c>
      <c r="O70" s="6">
        <f t="shared" si="5"/>
        <v>45474</v>
      </c>
      <c r="P70" s="4">
        <f t="shared" si="6"/>
        <v>45504</v>
      </c>
      <c r="Q70" s="3">
        <f t="shared" si="7"/>
        <v>1</v>
      </c>
      <c r="R70" s="7">
        <f t="shared" ca="1" si="8"/>
        <v>840</v>
      </c>
      <c r="S70" s="3">
        <f t="shared" si="9"/>
        <v>5</v>
      </c>
      <c r="T70" s="3" t="str">
        <f>IF(COUNTIF($D$2:D70,D70)=1,"First","Repeat")</f>
        <v>First</v>
      </c>
      <c r="U70" s="3" t="str">
        <f>IF(AND($K70=DateTime_Filter!$C$21,$N70&gt;=DateTime_Filter!$C$22),MAX(U$1:U69)+1,"")</f>
        <v/>
      </c>
    </row>
    <row r="71" spans="1:21" x14ac:dyDescent="0.35">
      <c r="A71" s="3" t="s">
        <v>201</v>
      </c>
      <c r="B71" s="4">
        <v>45487</v>
      </c>
      <c r="C71" s="3" t="s">
        <v>199</v>
      </c>
      <c r="D71" s="3" t="s">
        <v>200</v>
      </c>
      <c r="E71" s="3" t="s">
        <v>130</v>
      </c>
      <c r="F71" s="3" t="s">
        <v>131</v>
      </c>
      <c r="G71" s="3" t="s">
        <v>53</v>
      </c>
      <c r="H71" s="3">
        <v>2</v>
      </c>
      <c r="I71" s="5">
        <v>199.99</v>
      </c>
      <c r="J71" s="3" t="s">
        <v>27</v>
      </c>
      <c r="K71" s="3" t="s">
        <v>47</v>
      </c>
      <c r="L71" s="3" t="s">
        <v>29</v>
      </c>
      <c r="M71" s="4">
        <v>44541</v>
      </c>
      <c r="N71" s="5">
        <v>399.98</v>
      </c>
      <c r="O71" s="6">
        <f t="shared" si="5"/>
        <v>45474</v>
      </c>
      <c r="P71" s="4">
        <f t="shared" si="6"/>
        <v>45504</v>
      </c>
      <c r="Q71" s="3">
        <f t="shared" si="7"/>
        <v>2</v>
      </c>
      <c r="R71" s="7">
        <f t="shared" ca="1" si="8"/>
        <v>837</v>
      </c>
      <c r="S71" s="3">
        <f t="shared" si="9"/>
        <v>5</v>
      </c>
      <c r="T71" s="3" t="str">
        <f>IF(COUNTIF($D$2:D71,D71)=1,"First","Repeat")</f>
        <v>Repeat</v>
      </c>
      <c r="U71" s="3" t="str">
        <f>IF(AND($K71=DateTime_Filter!$C$21,$N71&gt;=DateTime_Filter!$C$22),MAX(U$1:U70)+1,"")</f>
        <v/>
      </c>
    </row>
    <row r="72" spans="1:21" x14ac:dyDescent="0.35">
      <c r="A72" s="3" t="s">
        <v>202</v>
      </c>
      <c r="B72" s="4">
        <v>45490</v>
      </c>
      <c r="C72" s="3" t="s">
        <v>203</v>
      </c>
      <c r="D72" s="3" t="s">
        <v>204</v>
      </c>
      <c r="E72" s="3" t="s">
        <v>38</v>
      </c>
      <c r="F72" s="3" t="s">
        <v>39</v>
      </c>
      <c r="G72" s="3" t="s">
        <v>40</v>
      </c>
      <c r="H72" s="3">
        <v>3</v>
      </c>
      <c r="I72" s="5">
        <v>59.99</v>
      </c>
      <c r="J72" s="3" t="s">
        <v>33</v>
      </c>
      <c r="K72" s="3" t="s">
        <v>57</v>
      </c>
      <c r="L72" s="3" t="s">
        <v>29</v>
      </c>
      <c r="M72" s="4">
        <v>45130</v>
      </c>
      <c r="N72" s="5">
        <v>179.97</v>
      </c>
      <c r="O72" s="6">
        <f t="shared" si="5"/>
        <v>45474</v>
      </c>
      <c r="P72" s="4">
        <f t="shared" si="6"/>
        <v>45504</v>
      </c>
      <c r="Q72" s="3">
        <f t="shared" si="7"/>
        <v>0</v>
      </c>
      <c r="R72" s="7">
        <f t="shared" ca="1" si="8"/>
        <v>834</v>
      </c>
      <c r="S72" s="3">
        <f t="shared" si="9"/>
        <v>4</v>
      </c>
      <c r="T72" s="3" t="str">
        <f>IF(COUNTIF($D$2:D72,D72)=1,"First","Repeat")</f>
        <v>First</v>
      </c>
      <c r="U72" s="3" t="str">
        <f>IF(AND($K72=DateTime_Filter!$C$21,$N72&gt;=DateTime_Filter!$C$22),MAX(U$1:U71)+1,"")</f>
        <v/>
      </c>
    </row>
    <row r="73" spans="1:21" x14ac:dyDescent="0.35">
      <c r="A73" s="3" t="s">
        <v>205</v>
      </c>
      <c r="B73" s="4">
        <v>45490</v>
      </c>
      <c r="C73" s="3" t="s">
        <v>79</v>
      </c>
      <c r="D73" s="3" t="s">
        <v>80</v>
      </c>
      <c r="E73" s="3" t="s">
        <v>51</v>
      </c>
      <c r="F73" s="3" t="s">
        <v>52</v>
      </c>
      <c r="G73" s="3" t="s">
        <v>53</v>
      </c>
      <c r="H73" s="3">
        <v>3</v>
      </c>
      <c r="I73" s="5">
        <v>149.99</v>
      </c>
      <c r="J73" s="3" t="s">
        <v>27</v>
      </c>
      <c r="K73" s="3" t="s">
        <v>28</v>
      </c>
      <c r="L73" s="3" t="s">
        <v>34</v>
      </c>
      <c r="M73" s="4">
        <v>45199</v>
      </c>
      <c r="N73" s="5">
        <v>449.97</v>
      </c>
      <c r="O73" s="6">
        <f t="shared" si="5"/>
        <v>45474</v>
      </c>
      <c r="P73" s="4">
        <f t="shared" si="6"/>
        <v>45504</v>
      </c>
      <c r="Q73" s="3">
        <f t="shared" si="7"/>
        <v>0</v>
      </c>
      <c r="R73" s="7">
        <f t="shared" ca="1" si="8"/>
        <v>834</v>
      </c>
      <c r="S73" s="3">
        <f t="shared" si="9"/>
        <v>5</v>
      </c>
      <c r="T73" s="3" t="str">
        <f>IF(COUNTIF($D$2:D73,D73)=1,"First","Repeat")</f>
        <v>Repeat</v>
      </c>
      <c r="U73" s="3" t="str">
        <f>IF(AND($K73=DateTime_Filter!$C$21,$N73&gt;=DateTime_Filter!$C$22),MAX(U$1:U72)+1,"")</f>
        <v/>
      </c>
    </row>
    <row r="74" spans="1:21" x14ac:dyDescent="0.35">
      <c r="A74" s="3" t="s">
        <v>206</v>
      </c>
      <c r="B74" s="4">
        <v>45491</v>
      </c>
      <c r="C74" s="3" t="s">
        <v>75</v>
      </c>
      <c r="D74" s="3" t="s">
        <v>76</v>
      </c>
      <c r="E74" s="3" t="s">
        <v>130</v>
      </c>
      <c r="F74" s="3" t="s">
        <v>131</v>
      </c>
      <c r="G74" s="3" t="s">
        <v>53</v>
      </c>
      <c r="H74" s="3">
        <v>3</v>
      </c>
      <c r="I74" s="5">
        <v>199.99</v>
      </c>
      <c r="J74" s="3" t="s">
        <v>27</v>
      </c>
      <c r="K74" s="3" t="s">
        <v>47</v>
      </c>
      <c r="L74" s="3" t="s">
        <v>34</v>
      </c>
      <c r="M74" s="4">
        <v>45254</v>
      </c>
      <c r="N74" s="5">
        <v>599.97</v>
      </c>
      <c r="O74" s="6">
        <f t="shared" si="5"/>
        <v>45474</v>
      </c>
      <c r="P74" s="4">
        <f t="shared" si="6"/>
        <v>45504</v>
      </c>
      <c r="Q74" s="3">
        <f t="shared" si="7"/>
        <v>0</v>
      </c>
      <c r="R74" s="7">
        <f t="shared" ca="1" si="8"/>
        <v>833</v>
      </c>
      <c r="S74" s="3">
        <f t="shared" si="9"/>
        <v>8</v>
      </c>
      <c r="T74" s="3" t="str">
        <f>IF(COUNTIF($D$2:D74,D74)=1,"First","Repeat")</f>
        <v>Repeat</v>
      </c>
      <c r="U74" s="3" t="str">
        <f>IF(AND($K74=DateTime_Filter!$C$21,$N74&gt;=DateTime_Filter!$C$22),MAX(U$1:U73)+1,"")</f>
        <v/>
      </c>
    </row>
    <row r="75" spans="1:21" x14ac:dyDescent="0.35">
      <c r="A75" s="3" t="s">
        <v>207</v>
      </c>
      <c r="B75" s="4">
        <v>45496</v>
      </c>
      <c r="C75" s="3" t="s">
        <v>158</v>
      </c>
      <c r="D75" s="3" t="s">
        <v>159</v>
      </c>
      <c r="E75" s="3" t="s">
        <v>68</v>
      </c>
      <c r="F75" s="3" t="s">
        <v>69</v>
      </c>
      <c r="G75" s="3" t="s">
        <v>26</v>
      </c>
      <c r="H75" s="3">
        <v>1</v>
      </c>
      <c r="I75" s="5">
        <v>899.99</v>
      </c>
      <c r="J75" s="3" t="s">
        <v>27</v>
      </c>
      <c r="K75" s="3" t="s">
        <v>28</v>
      </c>
      <c r="L75" s="3" t="s">
        <v>43</v>
      </c>
      <c r="M75" s="4">
        <v>45179</v>
      </c>
      <c r="N75" s="5">
        <v>899.99</v>
      </c>
      <c r="O75" s="6">
        <f t="shared" si="5"/>
        <v>45474</v>
      </c>
      <c r="P75" s="4">
        <f t="shared" si="6"/>
        <v>45504</v>
      </c>
      <c r="Q75" s="3">
        <f t="shared" si="7"/>
        <v>0</v>
      </c>
      <c r="R75" s="7">
        <f t="shared" ca="1" si="8"/>
        <v>828</v>
      </c>
      <c r="S75" s="3">
        <f t="shared" si="9"/>
        <v>6</v>
      </c>
      <c r="T75" s="3" t="str">
        <f>IF(COUNTIF($D$2:D75,D75)=1,"First","Repeat")</f>
        <v>Repeat</v>
      </c>
      <c r="U75" s="3" t="str">
        <f>IF(AND($K75=DateTime_Filter!$C$21,$N75&gt;=DateTime_Filter!$C$22),MAX(U$1:U74)+1,"")</f>
        <v/>
      </c>
    </row>
    <row r="76" spans="1:21" x14ac:dyDescent="0.35">
      <c r="A76" s="3" t="s">
        <v>208</v>
      </c>
      <c r="B76" s="4">
        <v>45497</v>
      </c>
      <c r="C76" s="3" t="s">
        <v>31</v>
      </c>
      <c r="D76" s="3" t="s">
        <v>32</v>
      </c>
      <c r="E76" s="3" t="s">
        <v>68</v>
      </c>
      <c r="F76" s="3" t="s">
        <v>69</v>
      </c>
      <c r="G76" s="3" t="s">
        <v>26</v>
      </c>
      <c r="H76" s="3">
        <v>5</v>
      </c>
      <c r="I76" s="5">
        <v>899.99</v>
      </c>
      <c r="J76" s="3" t="s">
        <v>64</v>
      </c>
      <c r="K76" s="3" t="s">
        <v>42</v>
      </c>
      <c r="L76" s="3" t="s">
        <v>43</v>
      </c>
      <c r="M76" s="4">
        <v>44899</v>
      </c>
      <c r="N76" s="5">
        <v>4499.95</v>
      </c>
      <c r="O76" s="6">
        <f t="shared" si="5"/>
        <v>45474</v>
      </c>
      <c r="P76" s="4">
        <f t="shared" si="6"/>
        <v>45504</v>
      </c>
      <c r="Q76" s="3">
        <f t="shared" si="7"/>
        <v>1</v>
      </c>
      <c r="R76" s="7">
        <f t="shared" ca="1" si="8"/>
        <v>827</v>
      </c>
      <c r="S76" s="3">
        <f t="shared" si="9"/>
        <v>5</v>
      </c>
      <c r="T76" s="3" t="str">
        <f>IF(COUNTIF($D$2:D76,D76)=1,"First","Repeat")</f>
        <v>Repeat</v>
      </c>
      <c r="U76" s="3" t="str">
        <f>IF(AND($K76=DateTime_Filter!$C$21,$N76&gt;=DateTime_Filter!$C$22),MAX(U$1:U75)+1,"")</f>
        <v/>
      </c>
    </row>
    <row r="77" spans="1:21" x14ac:dyDescent="0.35">
      <c r="A77" s="3" t="s">
        <v>209</v>
      </c>
      <c r="B77" s="4">
        <v>45498</v>
      </c>
      <c r="C77" s="3" t="s">
        <v>189</v>
      </c>
      <c r="D77" s="3" t="s">
        <v>190</v>
      </c>
      <c r="E77" s="3" t="s">
        <v>38</v>
      </c>
      <c r="F77" s="3" t="s">
        <v>39</v>
      </c>
      <c r="G77" s="3" t="s">
        <v>40</v>
      </c>
      <c r="H77" s="3">
        <v>2</v>
      </c>
      <c r="I77" s="5">
        <v>59.99</v>
      </c>
      <c r="J77" s="3" t="s">
        <v>27</v>
      </c>
      <c r="K77" s="3" t="s">
        <v>47</v>
      </c>
      <c r="L77" s="3" t="s">
        <v>43</v>
      </c>
      <c r="M77" s="4">
        <v>45152</v>
      </c>
      <c r="N77" s="5">
        <v>119.98</v>
      </c>
      <c r="O77" s="6">
        <f t="shared" si="5"/>
        <v>45474</v>
      </c>
      <c r="P77" s="4">
        <f t="shared" si="6"/>
        <v>45504</v>
      </c>
      <c r="Q77" s="3">
        <f t="shared" si="7"/>
        <v>0</v>
      </c>
      <c r="R77" s="7">
        <f t="shared" ca="1" si="8"/>
        <v>826</v>
      </c>
      <c r="S77" s="3">
        <f t="shared" si="9"/>
        <v>6</v>
      </c>
      <c r="T77" s="3" t="str">
        <f>IF(COUNTIF($D$2:D77,D77)=1,"First","Repeat")</f>
        <v>Repeat</v>
      </c>
      <c r="U77" s="3" t="str">
        <f>IF(AND($K77=DateTime_Filter!$C$21,$N77&gt;=DateTime_Filter!$C$22),MAX(U$1:U76)+1,"")</f>
        <v/>
      </c>
    </row>
    <row r="78" spans="1:21" x14ac:dyDescent="0.35">
      <c r="A78" s="3" t="s">
        <v>210</v>
      </c>
      <c r="B78" s="4">
        <v>45498</v>
      </c>
      <c r="C78" s="3" t="s">
        <v>203</v>
      </c>
      <c r="D78" s="3" t="s">
        <v>204</v>
      </c>
      <c r="E78" s="3" t="s">
        <v>24</v>
      </c>
      <c r="F78" s="3" t="s">
        <v>25</v>
      </c>
      <c r="G78" s="3" t="s">
        <v>26</v>
      </c>
      <c r="H78" s="3">
        <v>4</v>
      </c>
      <c r="I78" s="5">
        <v>249.99</v>
      </c>
      <c r="J78" s="3" t="s">
        <v>64</v>
      </c>
      <c r="K78" s="3" t="s">
        <v>28</v>
      </c>
      <c r="L78" s="3" t="s">
        <v>43</v>
      </c>
      <c r="M78" s="4">
        <v>45127</v>
      </c>
      <c r="N78" s="5">
        <v>999.96</v>
      </c>
      <c r="O78" s="6">
        <f t="shared" si="5"/>
        <v>45474</v>
      </c>
      <c r="P78" s="4">
        <f t="shared" si="6"/>
        <v>45504</v>
      </c>
      <c r="Q78" s="3">
        <f t="shared" si="7"/>
        <v>1</v>
      </c>
      <c r="R78" s="7">
        <f t="shared" ca="1" si="8"/>
        <v>826</v>
      </c>
      <c r="S78" s="3">
        <f t="shared" si="9"/>
        <v>4</v>
      </c>
      <c r="T78" s="3" t="str">
        <f>IF(COUNTIF($D$2:D78,D78)=1,"First","Repeat")</f>
        <v>Repeat</v>
      </c>
      <c r="U78" s="3" t="str">
        <f>IF(AND($K78=DateTime_Filter!$C$21,$N78&gt;=DateTime_Filter!$C$22),MAX(U$1:U77)+1,"")</f>
        <v/>
      </c>
    </row>
    <row r="79" spans="1:21" x14ac:dyDescent="0.35">
      <c r="A79" s="3" t="s">
        <v>211</v>
      </c>
      <c r="B79" s="4">
        <v>45500</v>
      </c>
      <c r="C79" s="3" t="s">
        <v>103</v>
      </c>
      <c r="D79" s="3" t="s">
        <v>104</v>
      </c>
      <c r="E79" s="3" t="s">
        <v>24</v>
      </c>
      <c r="F79" s="3" t="s">
        <v>25</v>
      </c>
      <c r="G79" s="3" t="s">
        <v>26</v>
      </c>
      <c r="H79" s="3">
        <v>2</v>
      </c>
      <c r="I79" s="5">
        <v>249.99</v>
      </c>
      <c r="J79" s="3" t="s">
        <v>27</v>
      </c>
      <c r="K79" s="3" t="s">
        <v>47</v>
      </c>
      <c r="L79" s="3" t="s">
        <v>34</v>
      </c>
      <c r="M79" s="4">
        <v>45164</v>
      </c>
      <c r="N79" s="5">
        <v>499.98</v>
      </c>
      <c r="O79" s="6">
        <f t="shared" si="5"/>
        <v>45474</v>
      </c>
      <c r="P79" s="4">
        <f t="shared" si="6"/>
        <v>45504</v>
      </c>
      <c r="Q79" s="3">
        <f t="shared" si="7"/>
        <v>0</v>
      </c>
      <c r="R79" s="7">
        <f t="shared" ca="1" si="8"/>
        <v>824</v>
      </c>
      <c r="S79" s="3">
        <f t="shared" si="9"/>
        <v>5</v>
      </c>
      <c r="T79" s="3" t="str">
        <f>IF(COUNTIF($D$2:D79,D79)=1,"First","Repeat")</f>
        <v>Repeat</v>
      </c>
      <c r="U79" s="3" t="str">
        <f>IF(AND($K79=DateTime_Filter!$C$21,$N79&gt;=DateTime_Filter!$C$22),MAX(U$1:U78)+1,"")</f>
        <v/>
      </c>
    </row>
    <row r="80" spans="1:21" x14ac:dyDescent="0.35">
      <c r="A80" s="3" t="s">
        <v>212</v>
      </c>
      <c r="B80" s="4">
        <v>45500</v>
      </c>
      <c r="C80" s="3" t="s">
        <v>154</v>
      </c>
      <c r="D80" s="3" t="s">
        <v>155</v>
      </c>
      <c r="E80" s="3" t="s">
        <v>112</v>
      </c>
      <c r="F80" s="3" t="s">
        <v>113</v>
      </c>
      <c r="G80" s="3" t="s">
        <v>53</v>
      </c>
      <c r="H80" s="3">
        <v>1</v>
      </c>
      <c r="I80" s="5">
        <v>299.99</v>
      </c>
      <c r="J80" s="3" t="s">
        <v>27</v>
      </c>
      <c r="K80" s="3" t="s">
        <v>42</v>
      </c>
      <c r="L80" s="3" t="s">
        <v>29</v>
      </c>
      <c r="M80" s="4">
        <v>44982</v>
      </c>
      <c r="N80" s="5">
        <v>299.99</v>
      </c>
      <c r="O80" s="6">
        <f t="shared" si="5"/>
        <v>45474</v>
      </c>
      <c r="P80" s="4">
        <f t="shared" si="6"/>
        <v>45504</v>
      </c>
      <c r="Q80" s="3">
        <f t="shared" si="7"/>
        <v>1</v>
      </c>
      <c r="R80" s="7">
        <f t="shared" ca="1" si="8"/>
        <v>824</v>
      </c>
      <c r="S80" s="3">
        <f t="shared" si="9"/>
        <v>7</v>
      </c>
      <c r="T80" s="3" t="str">
        <f>IF(COUNTIF($D$2:D80,D80)=1,"First","Repeat")</f>
        <v>Repeat</v>
      </c>
      <c r="U80" s="3" t="str">
        <f>IF(AND($K80=DateTime_Filter!$C$21,$N80&gt;=DateTime_Filter!$C$22),MAX(U$1:U79)+1,"")</f>
        <v/>
      </c>
    </row>
    <row r="81" spans="1:21" x14ac:dyDescent="0.35">
      <c r="A81" s="3" t="s">
        <v>213</v>
      </c>
      <c r="B81" s="4">
        <v>45501</v>
      </c>
      <c r="C81" s="3" t="s">
        <v>154</v>
      </c>
      <c r="D81" s="3" t="s">
        <v>155</v>
      </c>
      <c r="E81" s="3" t="s">
        <v>112</v>
      </c>
      <c r="F81" s="3" t="s">
        <v>113</v>
      </c>
      <c r="G81" s="3" t="s">
        <v>53</v>
      </c>
      <c r="H81" s="3">
        <v>3</v>
      </c>
      <c r="I81" s="5">
        <v>299.99</v>
      </c>
      <c r="J81" s="3" t="s">
        <v>27</v>
      </c>
      <c r="K81" s="3" t="s">
        <v>28</v>
      </c>
      <c r="L81" s="3" t="s">
        <v>29</v>
      </c>
      <c r="M81" s="4">
        <v>44732</v>
      </c>
      <c r="N81" s="5">
        <v>899.97</v>
      </c>
      <c r="O81" s="6">
        <f t="shared" si="5"/>
        <v>45474</v>
      </c>
      <c r="P81" s="4">
        <f t="shared" si="6"/>
        <v>45504</v>
      </c>
      <c r="Q81" s="3">
        <f t="shared" si="7"/>
        <v>2</v>
      </c>
      <c r="R81" s="7">
        <f t="shared" ca="1" si="8"/>
        <v>823</v>
      </c>
      <c r="S81" s="3">
        <f t="shared" si="9"/>
        <v>7</v>
      </c>
      <c r="T81" s="3" t="str">
        <f>IF(COUNTIF($D$2:D81,D81)=1,"First","Repeat")</f>
        <v>Repeat</v>
      </c>
      <c r="U81" s="3" t="str">
        <f>IF(AND($K81=DateTime_Filter!$C$21,$N81&gt;=DateTime_Filter!$C$22),MAX(U$1:U80)+1,"")</f>
        <v/>
      </c>
    </row>
    <row r="82" spans="1:21" x14ac:dyDescent="0.35">
      <c r="A82" s="3" t="s">
        <v>214</v>
      </c>
      <c r="B82" s="4">
        <v>45501</v>
      </c>
      <c r="C82" s="3" t="s">
        <v>93</v>
      </c>
      <c r="D82" s="3" t="s">
        <v>94</v>
      </c>
      <c r="E82" s="3" t="s">
        <v>118</v>
      </c>
      <c r="F82" s="3" t="s">
        <v>119</v>
      </c>
      <c r="G82" s="3" t="s">
        <v>26</v>
      </c>
      <c r="H82" s="3">
        <v>2</v>
      </c>
      <c r="I82" s="5">
        <v>89.99</v>
      </c>
      <c r="J82" s="3" t="s">
        <v>41</v>
      </c>
      <c r="K82" s="3" t="s">
        <v>42</v>
      </c>
      <c r="L82" s="3" t="s">
        <v>29</v>
      </c>
      <c r="M82" s="4">
        <v>44976</v>
      </c>
      <c r="N82" s="5">
        <v>179.98</v>
      </c>
      <c r="O82" s="6">
        <f t="shared" si="5"/>
        <v>45474</v>
      </c>
      <c r="P82" s="4">
        <f t="shared" si="6"/>
        <v>45504</v>
      </c>
      <c r="Q82" s="3">
        <f t="shared" si="7"/>
        <v>1</v>
      </c>
      <c r="R82" s="7">
        <f t="shared" ca="1" si="8"/>
        <v>823</v>
      </c>
      <c r="S82" s="3">
        <f t="shared" si="9"/>
        <v>12</v>
      </c>
      <c r="T82" s="3" t="str">
        <f>IF(COUNTIF($D$2:D82,D82)=1,"First","Repeat")</f>
        <v>Repeat</v>
      </c>
      <c r="U82" s="3" t="str">
        <f>IF(AND($K82=DateTime_Filter!$C$21,$N82&gt;=DateTime_Filter!$C$22),MAX(U$1:U81)+1,"")</f>
        <v/>
      </c>
    </row>
    <row r="83" spans="1:21" x14ac:dyDescent="0.35">
      <c r="A83" s="3" t="s">
        <v>215</v>
      </c>
      <c r="B83" s="4">
        <v>45503</v>
      </c>
      <c r="C83" s="3" t="s">
        <v>93</v>
      </c>
      <c r="D83" s="3" t="s">
        <v>94</v>
      </c>
      <c r="E83" s="3" t="s">
        <v>87</v>
      </c>
      <c r="F83" s="3" t="s">
        <v>88</v>
      </c>
      <c r="G83" s="3" t="s">
        <v>26</v>
      </c>
      <c r="H83" s="3">
        <v>2</v>
      </c>
      <c r="I83" s="5">
        <v>699.99</v>
      </c>
      <c r="J83" s="3" t="s">
        <v>33</v>
      </c>
      <c r="K83" s="3" t="s">
        <v>47</v>
      </c>
      <c r="L83" s="3" t="s">
        <v>34</v>
      </c>
      <c r="M83" s="4">
        <v>44999</v>
      </c>
      <c r="N83" s="5">
        <v>1399.98</v>
      </c>
      <c r="O83" s="6">
        <f t="shared" si="5"/>
        <v>45474</v>
      </c>
      <c r="P83" s="4">
        <f t="shared" si="6"/>
        <v>45504</v>
      </c>
      <c r="Q83" s="3">
        <f t="shared" si="7"/>
        <v>1</v>
      </c>
      <c r="R83" s="7">
        <f t="shared" ca="1" si="8"/>
        <v>821</v>
      </c>
      <c r="S83" s="3">
        <f t="shared" si="9"/>
        <v>12</v>
      </c>
      <c r="T83" s="3" t="str">
        <f>IF(COUNTIF($D$2:D83,D83)=1,"First","Repeat")</f>
        <v>Repeat</v>
      </c>
      <c r="U83" s="3">
        <f>IF(AND($K83=DateTime_Filter!$C$21,$N83&gt;=DateTime_Filter!$C$22),MAX(U$1:U82)+1,"")</f>
        <v>2</v>
      </c>
    </row>
    <row r="84" spans="1:21" x14ac:dyDescent="0.35">
      <c r="A84" s="3" t="s">
        <v>216</v>
      </c>
      <c r="B84" s="4">
        <v>45504</v>
      </c>
      <c r="C84" s="3" t="s">
        <v>127</v>
      </c>
      <c r="D84" s="3" t="s">
        <v>128</v>
      </c>
      <c r="E84" s="3" t="s">
        <v>68</v>
      </c>
      <c r="F84" s="3" t="s">
        <v>69</v>
      </c>
      <c r="G84" s="3" t="s">
        <v>26</v>
      </c>
      <c r="H84" s="3">
        <v>4</v>
      </c>
      <c r="I84" s="5">
        <v>899.99</v>
      </c>
      <c r="J84" s="3" t="s">
        <v>64</v>
      </c>
      <c r="K84" s="3" t="s">
        <v>42</v>
      </c>
      <c r="L84" s="3" t="s">
        <v>43</v>
      </c>
      <c r="M84" s="4">
        <v>44523</v>
      </c>
      <c r="N84" s="5">
        <v>3599.96</v>
      </c>
      <c r="O84" s="6">
        <f t="shared" si="5"/>
        <v>45474</v>
      </c>
      <c r="P84" s="4">
        <f t="shared" si="6"/>
        <v>45504</v>
      </c>
      <c r="Q84" s="3">
        <f t="shared" si="7"/>
        <v>2</v>
      </c>
      <c r="R84" s="7">
        <f t="shared" ca="1" si="8"/>
        <v>820</v>
      </c>
      <c r="S84" s="3">
        <f t="shared" si="9"/>
        <v>7</v>
      </c>
      <c r="T84" s="3" t="str">
        <f>IF(COUNTIF($D$2:D84,D84)=1,"First","Repeat")</f>
        <v>Repeat</v>
      </c>
      <c r="U84" s="3" t="str">
        <f>IF(AND($K84=DateTime_Filter!$C$21,$N84&gt;=DateTime_Filter!$C$22),MAX(U$1:U83)+1,"")</f>
        <v/>
      </c>
    </row>
    <row r="85" spans="1:21" x14ac:dyDescent="0.35">
      <c r="A85" s="3" t="s">
        <v>217</v>
      </c>
      <c r="B85" s="4">
        <v>45509</v>
      </c>
      <c r="C85" s="3" t="s">
        <v>218</v>
      </c>
      <c r="D85" s="3" t="s">
        <v>219</v>
      </c>
      <c r="E85" s="3" t="s">
        <v>51</v>
      </c>
      <c r="F85" s="3" t="s">
        <v>52</v>
      </c>
      <c r="G85" s="3" t="s">
        <v>53</v>
      </c>
      <c r="H85" s="3">
        <v>2</v>
      </c>
      <c r="I85" s="5">
        <v>149.99</v>
      </c>
      <c r="J85" s="3" t="s">
        <v>33</v>
      </c>
      <c r="K85" s="3" t="s">
        <v>57</v>
      </c>
      <c r="L85" s="3" t="s">
        <v>29</v>
      </c>
      <c r="M85" s="4">
        <v>44542</v>
      </c>
      <c r="N85" s="5">
        <v>299.98</v>
      </c>
      <c r="O85" s="6">
        <f t="shared" si="5"/>
        <v>45505</v>
      </c>
      <c r="P85" s="4">
        <f t="shared" si="6"/>
        <v>45535</v>
      </c>
      <c r="Q85" s="3">
        <f t="shared" si="7"/>
        <v>2</v>
      </c>
      <c r="R85" s="7">
        <f t="shared" ca="1" si="8"/>
        <v>815</v>
      </c>
      <c r="S85" s="3">
        <f t="shared" si="9"/>
        <v>4</v>
      </c>
      <c r="T85" s="3" t="str">
        <f>IF(COUNTIF($D$2:D85,D85)=1,"First","Repeat")</f>
        <v>First</v>
      </c>
      <c r="U85" s="3" t="str">
        <f>IF(AND($K85=DateTime_Filter!$C$21,$N85&gt;=DateTime_Filter!$C$22),MAX(U$1:U84)+1,"")</f>
        <v/>
      </c>
    </row>
    <row r="86" spans="1:21" x14ac:dyDescent="0.35">
      <c r="A86" s="3" t="s">
        <v>220</v>
      </c>
      <c r="B86" s="4">
        <v>45510</v>
      </c>
      <c r="C86" s="3" t="s">
        <v>109</v>
      </c>
      <c r="D86" s="3" t="s">
        <v>110</v>
      </c>
      <c r="E86" s="3" t="s">
        <v>51</v>
      </c>
      <c r="F86" s="3" t="s">
        <v>52</v>
      </c>
      <c r="G86" s="3" t="s">
        <v>53</v>
      </c>
      <c r="H86" s="3">
        <v>2</v>
      </c>
      <c r="I86" s="5">
        <v>149.99</v>
      </c>
      <c r="J86" s="3" t="s">
        <v>64</v>
      </c>
      <c r="K86" s="3" t="s">
        <v>70</v>
      </c>
      <c r="L86" s="3" t="s">
        <v>43</v>
      </c>
      <c r="M86" s="4">
        <v>44667</v>
      </c>
      <c r="N86" s="5">
        <v>299.98</v>
      </c>
      <c r="O86" s="6">
        <f t="shared" si="5"/>
        <v>45505</v>
      </c>
      <c r="P86" s="4">
        <f t="shared" si="6"/>
        <v>45535</v>
      </c>
      <c r="Q86" s="3">
        <f t="shared" si="7"/>
        <v>2</v>
      </c>
      <c r="R86" s="7">
        <f t="shared" ca="1" si="8"/>
        <v>814</v>
      </c>
      <c r="S86" s="3">
        <f t="shared" si="9"/>
        <v>5</v>
      </c>
      <c r="T86" s="3" t="str">
        <f>IF(COUNTIF($D$2:D86,D86)=1,"First","Repeat")</f>
        <v>Repeat</v>
      </c>
      <c r="U86" s="3" t="str">
        <f>IF(AND($K86=DateTime_Filter!$C$21,$N86&gt;=DateTime_Filter!$C$22),MAX(U$1:U85)+1,"")</f>
        <v/>
      </c>
    </row>
    <row r="87" spans="1:21" x14ac:dyDescent="0.35">
      <c r="A87" s="3" t="s">
        <v>221</v>
      </c>
      <c r="B87" s="4">
        <v>45513</v>
      </c>
      <c r="C87" s="3" t="s">
        <v>97</v>
      </c>
      <c r="D87" s="3" t="s">
        <v>98</v>
      </c>
      <c r="E87" s="3" t="s">
        <v>118</v>
      </c>
      <c r="F87" s="3" t="s">
        <v>119</v>
      </c>
      <c r="G87" s="3" t="s">
        <v>26</v>
      </c>
      <c r="H87" s="3">
        <v>1</v>
      </c>
      <c r="I87" s="5">
        <v>89.99</v>
      </c>
      <c r="J87" s="3" t="s">
        <v>33</v>
      </c>
      <c r="K87" s="3" t="s">
        <v>47</v>
      </c>
      <c r="L87" s="3" t="s">
        <v>43</v>
      </c>
      <c r="M87" s="4">
        <v>45393</v>
      </c>
      <c r="N87" s="5">
        <v>89.99</v>
      </c>
      <c r="O87" s="6">
        <f t="shared" si="5"/>
        <v>45505</v>
      </c>
      <c r="P87" s="4">
        <f t="shared" si="6"/>
        <v>45535</v>
      </c>
      <c r="Q87" s="3">
        <f t="shared" si="7"/>
        <v>0</v>
      </c>
      <c r="R87" s="7">
        <f t="shared" ca="1" si="8"/>
        <v>811</v>
      </c>
      <c r="S87" s="3">
        <f t="shared" si="9"/>
        <v>4</v>
      </c>
      <c r="T87" s="3" t="str">
        <f>IF(COUNTIF($D$2:D87,D87)=1,"First","Repeat")</f>
        <v>Repeat</v>
      </c>
      <c r="U87" s="3" t="str">
        <f>IF(AND($K87=DateTime_Filter!$C$21,$N87&gt;=DateTime_Filter!$C$22),MAX(U$1:U86)+1,"")</f>
        <v/>
      </c>
    </row>
    <row r="88" spans="1:21" x14ac:dyDescent="0.35">
      <c r="A88" s="3" t="s">
        <v>222</v>
      </c>
      <c r="B88" s="4">
        <v>45515</v>
      </c>
      <c r="C88" s="3" t="s">
        <v>93</v>
      </c>
      <c r="D88" s="3" t="s">
        <v>94</v>
      </c>
      <c r="E88" s="3" t="s">
        <v>112</v>
      </c>
      <c r="F88" s="3" t="s">
        <v>113</v>
      </c>
      <c r="G88" s="3" t="s">
        <v>53</v>
      </c>
      <c r="H88" s="3">
        <v>5</v>
      </c>
      <c r="I88" s="5">
        <v>299.99</v>
      </c>
      <c r="J88" s="3" t="s">
        <v>33</v>
      </c>
      <c r="K88" s="3" t="s">
        <v>47</v>
      </c>
      <c r="L88" s="3" t="s">
        <v>29</v>
      </c>
      <c r="M88" s="4">
        <v>44965</v>
      </c>
      <c r="N88" s="5">
        <v>1499.95</v>
      </c>
      <c r="O88" s="6">
        <f t="shared" si="5"/>
        <v>45505</v>
      </c>
      <c r="P88" s="4">
        <f t="shared" si="6"/>
        <v>45535</v>
      </c>
      <c r="Q88" s="3">
        <f t="shared" si="7"/>
        <v>1</v>
      </c>
      <c r="R88" s="7">
        <f t="shared" ca="1" si="8"/>
        <v>809</v>
      </c>
      <c r="S88" s="3">
        <f t="shared" si="9"/>
        <v>12</v>
      </c>
      <c r="T88" s="3" t="str">
        <f>IF(COUNTIF($D$2:D88,D88)=1,"First","Repeat")</f>
        <v>Repeat</v>
      </c>
      <c r="U88" s="3">
        <f>IF(AND($K88=DateTime_Filter!$C$21,$N88&gt;=DateTime_Filter!$C$22),MAX(U$1:U87)+1,"")</f>
        <v>3</v>
      </c>
    </row>
    <row r="89" spans="1:21" x14ac:dyDescent="0.35">
      <c r="A89" s="3" t="s">
        <v>223</v>
      </c>
      <c r="B89" s="4">
        <v>45517</v>
      </c>
      <c r="C89" s="3" t="s">
        <v>189</v>
      </c>
      <c r="D89" s="3" t="s">
        <v>190</v>
      </c>
      <c r="E89" s="3" t="s">
        <v>59</v>
      </c>
      <c r="F89" s="3" t="s">
        <v>60</v>
      </c>
      <c r="G89" s="3" t="s">
        <v>26</v>
      </c>
      <c r="H89" s="3">
        <v>4</v>
      </c>
      <c r="I89" s="5">
        <v>149.99</v>
      </c>
      <c r="J89" s="3" t="s">
        <v>64</v>
      </c>
      <c r="K89" s="3" t="s">
        <v>42</v>
      </c>
      <c r="L89" s="3" t="s">
        <v>34</v>
      </c>
      <c r="M89" s="4">
        <v>44820</v>
      </c>
      <c r="N89" s="5">
        <v>599.96</v>
      </c>
      <c r="O89" s="6">
        <f t="shared" si="5"/>
        <v>45505</v>
      </c>
      <c r="P89" s="4">
        <f t="shared" si="6"/>
        <v>45535</v>
      </c>
      <c r="Q89" s="3">
        <f t="shared" si="7"/>
        <v>1</v>
      </c>
      <c r="R89" s="7">
        <f t="shared" ca="1" si="8"/>
        <v>807</v>
      </c>
      <c r="S89" s="3">
        <f t="shared" si="9"/>
        <v>6</v>
      </c>
      <c r="T89" s="3" t="str">
        <f>IF(COUNTIF($D$2:D89,D89)=1,"First","Repeat")</f>
        <v>Repeat</v>
      </c>
      <c r="U89" s="3" t="str">
        <f>IF(AND($K89=DateTime_Filter!$C$21,$N89&gt;=DateTime_Filter!$C$22),MAX(U$1:U88)+1,"")</f>
        <v/>
      </c>
    </row>
    <row r="90" spans="1:21" x14ac:dyDescent="0.35">
      <c r="A90" s="3" t="s">
        <v>224</v>
      </c>
      <c r="B90" s="4">
        <v>45517</v>
      </c>
      <c r="C90" s="3" t="s">
        <v>192</v>
      </c>
      <c r="D90" s="3" t="s">
        <v>193</v>
      </c>
      <c r="E90" s="3" t="s">
        <v>24</v>
      </c>
      <c r="F90" s="3" t="s">
        <v>25</v>
      </c>
      <c r="G90" s="3" t="s">
        <v>26</v>
      </c>
      <c r="H90" s="3">
        <v>5</v>
      </c>
      <c r="I90" s="5">
        <v>249.99</v>
      </c>
      <c r="J90" s="3" t="s">
        <v>41</v>
      </c>
      <c r="K90" s="3" t="s">
        <v>70</v>
      </c>
      <c r="L90" s="3" t="s">
        <v>34</v>
      </c>
      <c r="M90" s="4">
        <v>44782</v>
      </c>
      <c r="N90" s="5">
        <v>1249.95</v>
      </c>
      <c r="O90" s="6">
        <f t="shared" si="5"/>
        <v>45505</v>
      </c>
      <c r="P90" s="4">
        <f t="shared" si="6"/>
        <v>45535</v>
      </c>
      <c r="Q90" s="3">
        <f t="shared" si="7"/>
        <v>2</v>
      </c>
      <c r="R90" s="7">
        <f t="shared" ca="1" si="8"/>
        <v>807</v>
      </c>
      <c r="S90" s="3">
        <f t="shared" si="9"/>
        <v>4</v>
      </c>
      <c r="T90" s="3" t="str">
        <f>IF(COUNTIF($D$2:D90,D90)=1,"First","Repeat")</f>
        <v>Repeat</v>
      </c>
      <c r="U90" s="3" t="str">
        <f>IF(AND($K90=DateTime_Filter!$C$21,$N90&gt;=DateTime_Filter!$C$22),MAX(U$1:U89)+1,"")</f>
        <v/>
      </c>
    </row>
    <row r="91" spans="1:21" x14ac:dyDescent="0.35">
      <c r="A91" s="3" t="s">
        <v>225</v>
      </c>
      <c r="B91" s="4">
        <v>45517</v>
      </c>
      <c r="C91" s="3" t="s">
        <v>75</v>
      </c>
      <c r="D91" s="3" t="s">
        <v>76</v>
      </c>
      <c r="E91" s="3" t="s">
        <v>24</v>
      </c>
      <c r="F91" s="3" t="s">
        <v>25</v>
      </c>
      <c r="G91" s="3" t="s">
        <v>26</v>
      </c>
      <c r="H91" s="3">
        <v>3</v>
      </c>
      <c r="I91" s="5">
        <v>249.99</v>
      </c>
      <c r="J91" s="3" t="s">
        <v>41</v>
      </c>
      <c r="K91" s="3" t="s">
        <v>47</v>
      </c>
      <c r="L91" s="3" t="s">
        <v>34</v>
      </c>
      <c r="M91" s="4">
        <v>44465</v>
      </c>
      <c r="N91" s="5">
        <v>749.97</v>
      </c>
      <c r="O91" s="6">
        <f t="shared" si="5"/>
        <v>45505</v>
      </c>
      <c r="P91" s="4">
        <f t="shared" si="6"/>
        <v>45535</v>
      </c>
      <c r="Q91" s="3">
        <f t="shared" si="7"/>
        <v>2</v>
      </c>
      <c r="R91" s="7">
        <f t="shared" ca="1" si="8"/>
        <v>807</v>
      </c>
      <c r="S91" s="3">
        <f t="shared" si="9"/>
        <v>8</v>
      </c>
      <c r="T91" s="3" t="str">
        <f>IF(COUNTIF($D$2:D91,D91)=1,"First","Repeat")</f>
        <v>Repeat</v>
      </c>
      <c r="U91" s="3" t="str">
        <f>IF(AND($K91=DateTime_Filter!$C$21,$N91&gt;=DateTime_Filter!$C$22),MAX(U$1:U90)+1,"")</f>
        <v/>
      </c>
    </row>
    <row r="92" spans="1:21" x14ac:dyDescent="0.35">
      <c r="A92" s="3" t="s">
        <v>226</v>
      </c>
      <c r="B92" s="4">
        <v>45517</v>
      </c>
      <c r="C92" s="3" t="s">
        <v>45</v>
      </c>
      <c r="D92" s="3" t="s">
        <v>46</v>
      </c>
      <c r="E92" s="3" t="s">
        <v>130</v>
      </c>
      <c r="F92" s="3" t="s">
        <v>131</v>
      </c>
      <c r="G92" s="3" t="s">
        <v>53</v>
      </c>
      <c r="H92" s="3">
        <v>4</v>
      </c>
      <c r="I92" s="5">
        <v>199.99</v>
      </c>
      <c r="J92" s="3" t="s">
        <v>27</v>
      </c>
      <c r="K92" s="3" t="s">
        <v>47</v>
      </c>
      <c r="L92" s="3" t="s">
        <v>43</v>
      </c>
      <c r="M92" s="4">
        <v>44458</v>
      </c>
      <c r="N92" s="5">
        <v>799.96</v>
      </c>
      <c r="O92" s="6">
        <f t="shared" si="5"/>
        <v>45505</v>
      </c>
      <c r="P92" s="4">
        <f t="shared" si="6"/>
        <v>45535</v>
      </c>
      <c r="Q92" s="3">
        <f t="shared" si="7"/>
        <v>2</v>
      </c>
      <c r="R92" s="7">
        <f t="shared" ca="1" si="8"/>
        <v>807</v>
      </c>
      <c r="S92" s="3">
        <f t="shared" si="9"/>
        <v>6</v>
      </c>
      <c r="T92" s="3" t="str">
        <f>IF(COUNTIF($D$2:D92,D92)=1,"First","Repeat")</f>
        <v>Repeat</v>
      </c>
      <c r="U92" s="3" t="str">
        <f>IF(AND($K92=DateTime_Filter!$C$21,$N92&gt;=DateTime_Filter!$C$22),MAX(U$1:U91)+1,"")</f>
        <v/>
      </c>
    </row>
    <row r="93" spans="1:21" x14ac:dyDescent="0.35">
      <c r="A93" s="3" t="s">
        <v>227</v>
      </c>
      <c r="B93" s="4">
        <v>45519</v>
      </c>
      <c r="C93" s="3" t="s">
        <v>164</v>
      </c>
      <c r="D93" s="3" t="s">
        <v>165</v>
      </c>
      <c r="E93" s="3" t="s">
        <v>130</v>
      </c>
      <c r="F93" s="3" t="s">
        <v>131</v>
      </c>
      <c r="G93" s="3" t="s">
        <v>53</v>
      </c>
      <c r="H93" s="3">
        <v>5</v>
      </c>
      <c r="I93" s="5">
        <v>199.99</v>
      </c>
      <c r="J93" s="3" t="s">
        <v>27</v>
      </c>
      <c r="K93" s="3" t="s">
        <v>47</v>
      </c>
      <c r="L93" s="3" t="s">
        <v>34</v>
      </c>
      <c r="M93" s="4">
        <v>44991</v>
      </c>
      <c r="N93" s="5">
        <v>999.95</v>
      </c>
      <c r="O93" s="6">
        <f t="shared" si="5"/>
        <v>45505</v>
      </c>
      <c r="P93" s="4">
        <f t="shared" si="6"/>
        <v>45535</v>
      </c>
      <c r="Q93" s="3">
        <f t="shared" si="7"/>
        <v>1</v>
      </c>
      <c r="R93" s="7">
        <f t="shared" ca="1" si="8"/>
        <v>805</v>
      </c>
      <c r="S93" s="3">
        <f t="shared" si="9"/>
        <v>5</v>
      </c>
      <c r="T93" s="3" t="str">
        <f>IF(COUNTIF($D$2:D93,D93)=1,"First","Repeat")</f>
        <v>Repeat</v>
      </c>
      <c r="U93" s="3" t="str">
        <f>IF(AND($K93=DateTime_Filter!$C$21,$N93&gt;=DateTime_Filter!$C$22),MAX(U$1:U92)+1,"")</f>
        <v/>
      </c>
    </row>
    <row r="94" spans="1:21" x14ac:dyDescent="0.35">
      <c r="A94" s="3" t="s">
        <v>228</v>
      </c>
      <c r="B94" s="4">
        <v>45522</v>
      </c>
      <c r="C94" s="3" t="s">
        <v>93</v>
      </c>
      <c r="D94" s="3" t="s">
        <v>94</v>
      </c>
      <c r="E94" s="3" t="s">
        <v>118</v>
      </c>
      <c r="F94" s="3" t="s">
        <v>119</v>
      </c>
      <c r="G94" s="3" t="s">
        <v>26</v>
      </c>
      <c r="H94" s="3">
        <v>2</v>
      </c>
      <c r="I94" s="5">
        <v>89.99</v>
      </c>
      <c r="J94" s="3" t="s">
        <v>27</v>
      </c>
      <c r="K94" s="3" t="s">
        <v>70</v>
      </c>
      <c r="L94" s="3" t="s">
        <v>34</v>
      </c>
      <c r="M94" s="4">
        <v>44972</v>
      </c>
      <c r="N94" s="5">
        <v>179.98</v>
      </c>
      <c r="O94" s="6">
        <f t="shared" si="5"/>
        <v>45505</v>
      </c>
      <c r="P94" s="4">
        <f t="shared" si="6"/>
        <v>45535</v>
      </c>
      <c r="Q94" s="3">
        <f t="shared" si="7"/>
        <v>1</v>
      </c>
      <c r="R94" s="7">
        <f t="shared" ca="1" si="8"/>
        <v>802</v>
      </c>
      <c r="S94" s="3">
        <f t="shared" si="9"/>
        <v>12</v>
      </c>
      <c r="T94" s="3" t="str">
        <f>IF(COUNTIF($D$2:D94,D94)=1,"First","Repeat")</f>
        <v>Repeat</v>
      </c>
      <c r="U94" s="3" t="str">
        <f>IF(AND($K94=DateTime_Filter!$C$21,$N94&gt;=DateTime_Filter!$C$22),MAX(U$1:U93)+1,"")</f>
        <v/>
      </c>
    </row>
    <row r="95" spans="1:21" x14ac:dyDescent="0.35">
      <c r="A95" s="3" t="s">
        <v>229</v>
      </c>
      <c r="B95" s="4">
        <v>45523</v>
      </c>
      <c r="C95" s="3" t="s">
        <v>115</v>
      </c>
      <c r="D95" s="3" t="s">
        <v>116</v>
      </c>
      <c r="E95" s="3" t="s">
        <v>59</v>
      </c>
      <c r="F95" s="3" t="s">
        <v>60</v>
      </c>
      <c r="G95" s="3" t="s">
        <v>26</v>
      </c>
      <c r="H95" s="3">
        <v>3</v>
      </c>
      <c r="I95" s="5">
        <v>149.99</v>
      </c>
      <c r="J95" s="3" t="s">
        <v>41</v>
      </c>
      <c r="K95" s="3" t="s">
        <v>70</v>
      </c>
      <c r="L95" s="3" t="s">
        <v>29</v>
      </c>
      <c r="M95" s="4">
        <v>44574</v>
      </c>
      <c r="N95" s="5">
        <v>449.97</v>
      </c>
      <c r="O95" s="6">
        <f t="shared" si="5"/>
        <v>45505</v>
      </c>
      <c r="P95" s="4">
        <f t="shared" si="6"/>
        <v>45535</v>
      </c>
      <c r="Q95" s="3">
        <f t="shared" si="7"/>
        <v>2</v>
      </c>
      <c r="R95" s="7">
        <f t="shared" ca="1" si="8"/>
        <v>801</v>
      </c>
      <c r="S95" s="3">
        <f t="shared" si="9"/>
        <v>6</v>
      </c>
      <c r="T95" s="3" t="str">
        <f>IF(COUNTIF($D$2:D95,D95)=1,"First","Repeat")</f>
        <v>Repeat</v>
      </c>
      <c r="U95" s="3" t="str">
        <f>IF(AND($K95=DateTime_Filter!$C$21,$N95&gt;=DateTime_Filter!$C$22),MAX(U$1:U94)+1,"")</f>
        <v/>
      </c>
    </row>
    <row r="96" spans="1:21" x14ac:dyDescent="0.35">
      <c r="A96" s="3" t="s">
        <v>230</v>
      </c>
      <c r="B96" s="4">
        <v>45523</v>
      </c>
      <c r="C96" s="3" t="s">
        <v>203</v>
      </c>
      <c r="D96" s="3" t="s">
        <v>204</v>
      </c>
      <c r="E96" s="3" t="s">
        <v>68</v>
      </c>
      <c r="F96" s="3" t="s">
        <v>69</v>
      </c>
      <c r="G96" s="3" t="s">
        <v>26</v>
      </c>
      <c r="H96" s="3">
        <v>5</v>
      </c>
      <c r="I96" s="5">
        <v>899.99</v>
      </c>
      <c r="J96" s="3" t="s">
        <v>64</v>
      </c>
      <c r="K96" s="3" t="s">
        <v>70</v>
      </c>
      <c r="L96" s="3" t="s">
        <v>29</v>
      </c>
      <c r="M96" s="4">
        <v>44526</v>
      </c>
      <c r="N96" s="5">
        <v>4499.95</v>
      </c>
      <c r="O96" s="6">
        <f t="shared" si="5"/>
        <v>45505</v>
      </c>
      <c r="P96" s="4">
        <f t="shared" si="6"/>
        <v>45535</v>
      </c>
      <c r="Q96" s="3">
        <f t="shared" si="7"/>
        <v>2</v>
      </c>
      <c r="R96" s="7">
        <f t="shared" ca="1" si="8"/>
        <v>801</v>
      </c>
      <c r="S96" s="3">
        <f t="shared" si="9"/>
        <v>4</v>
      </c>
      <c r="T96" s="3" t="str">
        <f>IF(COUNTIF($D$2:D96,D96)=1,"First","Repeat")</f>
        <v>Repeat</v>
      </c>
      <c r="U96" s="3" t="str">
        <f>IF(AND($K96=DateTime_Filter!$C$21,$N96&gt;=DateTime_Filter!$C$22),MAX(U$1:U95)+1,"")</f>
        <v/>
      </c>
    </row>
    <row r="97" spans="1:21" x14ac:dyDescent="0.35">
      <c r="A97" s="3" t="s">
        <v>231</v>
      </c>
      <c r="B97" s="4">
        <v>45526</v>
      </c>
      <c r="C97" s="3" t="s">
        <v>109</v>
      </c>
      <c r="D97" s="3" t="s">
        <v>110</v>
      </c>
      <c r="E97" s="3" t="s">
        <v>51</v>
      </c>
      <c r="F97" s="3" t="s">
        <v>52</v>
      </c>
      <c r="G97" s="3" t="s">
        <v>53</v>
      </c>
      <c r="H97" s="3">
        <v>5</v>
      </c>
      <c r="I97" s="5">
        <v>149.99</v>
      </c>
      <c r="J97" s="3" t="s">
        <v>33</v>
      </c>
      <c r="K97" s="3" t="s">
        <v>28</v>
      </c>
      <c r="L97" s="3" t="s">
        <v>29</v>
      </c>
      <c r="M97" s="4">
        <v>45310</v>
      </c>
      <c r="N97" s="5">
        <v>749.95</v>
      </c>
      <c r="O97" s="6">
        <f t="shared" si="5"/>
        <v>45505</v>
      </c>
      <c r="P97" s="4">
        <f t="shared" si="6"/>
        <v>45535</v>
      </c>
      <c r="Q97" s="3">
        <f t="shared" si="7"/>
        <v>0</v>
      </c>
      <c r="R97" s="7">
        <f t="shared" ca="1" si="8"/>
        <v>798</v>
      </c>
      <c r="S97" s="3">
        <f t="shared" si="9"/>
        <v>5</v>
      </c>
      <c r="T97" s="3" t="str">
        <f>IF(COUNTIF($D$2:D97,D97)=1,"First","Repeat")</f>
        <v>Repeat</v>
      </c>
      <c r="U97" s="3" t="str">
        <f>IF(AND($K97=DateTime_Filter!$C$21,$N97&gt;=DateTime_Filter!$C$22),MAX(U$1:U96)+1,"")</f>
        <v/>
      </c>
    </row>
    <row r="98" spans="1:21" x14ac:dyDescent="0.35">
      <c r="A98" s="3" t="s">
        <v>232</v>
      </c>
      <c r="B98" s="4">
        <v>45528</v>
      </c>
      <c r="C98" s="3" t="s">
        <v>233</v>
      </c>
      <c r="D98" s="3" t="s">
        <v>234</v>
      </c>
      <c r="E98" s="3" t="s">
        <v>124</v>
      </c>
      <c r="F98" s="3" t="s">
        <v>125</v>
      </c>
      <c r="G98" s="3" t="s">
        <v>40</v>
      </c>
      <c r="H98" s="3">
        <v>3</v>
      </c>
      <c r="I98" s="5">
        <v>79.989999999999995</v>
      </c>
      <c r="J98" s="3" t="s">
        <v>27</v>
      </c>
      <c r="K98" s="3" t="s">
        <v>28</v>
      </c>
      <c r="L98" s="3" t="s">
        <v>34</v>
      </c>
      <c r="M98" s="4">
        <v>44779</v>
      </c>
      <c r="N98" s="5">
        <v>239.97</v>
      </c>
      <c r="O98" s="6">
        <f t="shared" si="5"/>
        <v>45505</v>
      </c>
      <c r="P98" s="4">
        <f t="shared" si="6"/>
        <v>45535</v>
      </c>
      <c r="Q98" s="3">
        <f t="shared" si="7"/>
        <v>2</v>
      </c>
      <c r="R98" s="7">
        <f t="shared" ca="1" si="8"/>
        <v>796</v>
      </c>
      <c r="S98" s="3">
        <f t="shared" si="9"/>
        <v>8</v>
      </c>
      <c r="T98" s="3" t="str">
        <f>IF(COUNTIF($D$2:D98,D98)=1,"First","Repeat")</f>
        <v>First</v>
      </c>
      <c r="U98" s="3" t="str">
        <f>IF(AND($K98=DateTime_Filter!$C$21,$N98&gt;=DateTime_Filter!$C$22),MAX(U$1:U97)+1,"")</f>
        <v/>
      </c>
    </row>
    <row r="99" spans="1:21" x14ac:dyDescent="0.35">
      <c r="A99" s="3" t="s">
        <v>235</v>
      </c>
      <c r="B99" s="4">
        <v>45528</v>
      </c>
      <c r="C99" s="3" t="s">
        <v>151</v>
      </c>
      <c r="D99" s="3" t="s">
        <v>152</v>
      </c>
      <c r="E99" s="3" t="s">
        <v>24</v>
      </c>
      <c r="F99" s="3" t="s">
        <v>25</v>
      </c>
      <c r="G99" s="3" t="s">
        <v>26</v>
      </c>
      <c r="H99" s="3">
        <v>2</v>
      </c>
      <c r="I99" s="5">
        <v>249.99</v>
      </c>
      <c r="J99" s="3" t="s">
        <v>27</v>
      </c>
      <c r="K99" s="3" t="s">
        <v>42</v>
      </c>
      <c r="L99" s="3" t="s">
        <v>43</v>
      </c>
      <c r="M99" s="4">
        <v>44572</v>
      </c>
      <c r="N99" s="5">
        <v>499.98</v>
      </c>
      <c r="O99" s="6">
        <f t="shared" si="5"/>
        <v>45505</v>
      </c>
      <c r="P99" s="4">
        <f t="shared" si="6"/>
        <v>45535</v>
      </c>
      <c r="Q99" s="3">
        <f t="shared" si="7"/>
        <v>2</v>
      </c>
      <c r="R99" s="7">
        <f t="shared" ca="1" si="8"/>
        <v>796</v>
      </c>
      <c r="S99" s="3">
        <f t="shared" si="9"/>
        <v>4</v>
      </c>
      <c r="T99" s="3" t="str">
        <f>IF(COUNTIF($D$2:D99,D99)=1,"First","Repeat")</f>
        <v>Repeat</v>
      </c>
      <c r="U99" s="3" t="str">
        <f>IF(AND($K99=DateTime_Filter!$C$21,$N99&gt;=DateTime_Filter!$C$22),MAX(U$1:U98)+1,"")</f>
        <v/>
      </c>
    </row>
    <row r="100" spans="1:21" x14ac:dyDescent="0.35">
      <c r="A100" s="3" t="s">
        <v>236</v>
      </c>
      <c r="B100" s="4">
        <v>45532</v>
      </c>
      <c r="C100" s="3" t="s">
        <v>203</v>
      </c>
      <c r="D100" s="3" t="s">
        <v>204</v>
      </c>
      <c r="E100" s="3" t="s">
        <v>87</v>
      </c>
      <c r="F100" s="3" t="s">
        <v>88</v>
      </c>
      <c r="G100" s="3" t="s">
        <v>26</v>
      </c>
      <c r="H100" s="3">
        <v>1</v>
      </c>
      <c r="I100" s="5">
        <v>699.99</v>
      </c>
      <c r="J100" s="3" t="s">
        <v>27</v>
      </c>
      <c r="K100" s="3" t="s">
        <v>28</v>
      </c>
      <c r="L100" s="3" t="s">
        <v>34</v>
      </c>
      <c r="M100" s="4">
        <v>44497</v>
      </c>
      <c r="N100" s="5">
        <v>699.99</v>
      </c>
      <c r="O100" s="6">
        <f t="shared" si="5"/>
        <v>45505</v>
      </c>
      <c r="P100" s="4">
        <f t="shared" si="6"/>
        <v>45535</v>
      </c>
      <c r="Q100" s="3">
        <f t="shared" si="7"/>
        <v>2</v>
      </c>
      <c r="R100" s="7">
        <f t="shared" ca="1" si="8"/>
        <v>792</v>
      </c>
      <c r="S100" s="3">
        <f t="shared" si="9"/>
        <v>4</v>
      </c>
      <c r="T100" s="3" t="str">
        <f>IF(COUNTIF($D$2:D100,D100)=1,"First","Repeat")</f>
        <v>Repeat</v>
      </c>
      <c r="U100" s="3" t="str">
        <f>IF(AND($K100=DateTime_Filter!$C$21,$N100&gt;=DateTime_Filter!$C$22),MAX(U$1:U99)+1,"")</f>
        <v/>
      </c>
    </row>
    <row r="101" spans="1:21" x14ac:dyDescent="0.35">
      <c r="A101" s="3" t="s">
        <v>237</v>
      </c>
      <c r="B101" s="4">
        <v>45532</v>
      </c>
      <c r="C101" s="3" t="s">
        <v>238</v>
      </c>
      <c r="D101" s="3" t="s">
        <v>239</v>
      </c>
      <c r="E101" s="3" t="s">
        <v>59</v>
      </c>
      <c r="F101" s="3" t="s">
        <v>60</v>
      </c>
      <c r="G101" s="3" t="s">
        <v>26</v>
      </c>
      <c r="H101" s="3">
        <v>3</v>
      </c>
      <c r="I101" s="5">
        <v>149.99</v>
      </c>
      <c r="J101" s="3" t="s">
        <v>27</v>
      </c>
      <c r="K101" s="3" t="s">
        <v>57</v>
      </c>
      <c r="L101" s="3" t="s">
        <v>34</v>
      </c>
      <c r="M101" s="4">
        <v>45212</v>
      </c>
      <c r="N101" s="5">
        <v>449.97</v>
      </c>
      <c r="O101" s="6">
        <f t="shared" si="5"/>
        <v>45505</v>
      </c>
      <c r="P101" s="4">
        <f t="shared" si="6"/>
        <v>45535</v>
      </c>
      <c r="Q101" s="3">
        <f t="shared" si="7"/>
        <v>0</v>
      </c>
      <c r="R101" s="7">
        <f t="shared" ca="1" si="8"/>
        <v>792</v>
      </c>
      <c r="S101" s="3">
        <f t="shared" si="9"/>
        <v>3</v>
      </c>
      <c r="T101" s="3" t="str">
        <f>IF(COUNTIF($D$2:D101,D101)=1,"First","Repeat")</f>
        <v>First</v>
      </c>
      <c r="U101" s="3" t="str">
        <f>IF(AND($K101=DateTime_Filter!$C$21,$N101&gt;=DateTime_Filter!$C$22),MAX(U$1:U100)+1,"")</f>
        <v/>
      </c>
    </row>
    <row r="102" spans="1:21" x14ac:dyDescent="0.35">
      <c r="A102" s="3" t="s">
        <v>240</v>
      </c>
      <c r="B102" s="4">
        <v>45534</v>
      </c>
      <c r="C102" s="3" t="s">
        <v>241</v>
      </c>
      <c r="D102" s="3" t="s">
        <v>242</v>
      </c>
      <c r="E102" s="3" t="s">
        <v>87</v>
      </c>
      <c r="F102" s="3" t="s">
        <v>88</v>
      </c>
      <c r="G102" s="3" t="s">
        <v>26</v>
      </c>
      <c r="H102" s="3">
        <v>2</v>
      </c>
      <c r="I102" s="5">
        <v>699.99</v>
      </c>
      <c r="J102" s="3" t="s">
        <v>33</v>
      </c>
      <c r="K102" s="3" t="s">
        <v>47</v>
      </c>
      <c r="L102" s="3" t="s">
        <v>34</v>
      </c>
      <c r="M102" s="4">
        <v>44421</v>
      </c>
      <c r="N102" s="5">
        <v>1399.98</v>
      </c>
      <c r="O102" s="6">
        <f t="shared" si="5"/>
        <v>45505</v>
      </c>
      <c r="P102" s="4">
        <f t="shared" si="6"/>
        <v>45535</v>
      </c>
      <c r="Q102" s="3">
        <f t="shared" si="7"/>
        <v>3</v>
      </c>
      <c r="R102" s="7">
        <f t="shared" ca="1" si="8"/>
        <v>790</v>
      </c>
      <c r="S102" s="3">
        <f t="shared" si="9"/>
        <v>5</v>
      </c>
      <c r="T102" s="3" t="str">
        <f>IF(COUNTIF($D$2:D102,D102)=1,"First","Repeat")</f>
        <v>First</v>
      </c>
      <c r="U102" s="3">
        <f>IF(AND($K102=DateTime_Filter!$C$21,$N102&gt;=DateTime_Filter!$C$22),MAX(U$1:U101)+1,"")</f>
        <v>4</v>
      </c>
    </row>
    <row r="103" spans="1:21" x14ac:dyDescent="0.35">
      <c r="A103" s="3" t="s">
        <v>243</v>
      </c>
      <c r="B103" s="4">
        <v>45537</v>
      </c>
      <c r="C103" s="3" t="s">
        <v>22</v>
      </c>
      <c r="D103" s="3" t="s">
        <v>23</v>
      </c>
      <c r="E103" s="3" t="s">
        <v>24</v>
      </c>
      <c r="F103" s="3" t="s">
        <v>25</v>
      </c>
      <c r="G103" s="3" t="s">
        <v>26</v>
      </c>
      <c r="H103" s="3">
        <v>1</v>
      </c>
      <c r="I103" s="5">
        <v>249.99</v>
      </c>
      <c r="J103" s="3" t="s">
        <v>64</v>
      </c>
      <c r="K103" s="3" t="s">
        <v>47</v>
      </c>
      <c r="L103" s="3" t="s">
        <v>34</v>
      </c>
      <c r="M103" s="4">
        <v>45332</v>
      </c>
      <c r="N103" s="5">
        <v>249.99</v>
      </c>
      <c r="O103" s="6">
        <f t="shared" si="5"/>
        <v>45536</v>
      </c>
      <c r="P103" s="4">
        <f t="shared" si="6"/>
        <v>45565</v>
      </c>
      <c r="Q103" s="3">
        <f t="shared" si="7"/>
        <v>0</v>
      </c>
      <c r="R103" s="7">
        <f t="shared" ca="1" si="8"/>
        <v>787</v>
      </c>
      <c r="S103" s="3">
        <f t="shared" si="9"/>
        <v>8</v>
      </c>
      <c r="T103" s="3" t="str">
        <f>IF(COUNTIF($D$2:D103,D103)=1,"First","Repeat")</f>
        <v>Repeat</v>
      </c>
      <c r="U103" s="3" t="str">
        <f>IF(AND($K103=DateTime_Filter!$C$21,$N103&gt;=DateTime_Filter!$C$22),MAX(U$1:U102)+1,"")</f>
        <v/>
      </c>
    </row>
    <row r="104" spans="1:21" x14ac:dyDescent="0.35">
      <c r="A104" s="3" t="s">
        <v>244</v>
      </c>
      <c r="B104" s="4">
        <v>45537</v>
      </c>
      <c r="C104" s="3" t="s">
        <v>238</v>
      </c>
      <c r="D104" s="3" t="s">
        <v>239</v>
      </c>
      <c r="E104" s="3" t="s">
        <v>24</v>
      </c>
      <c r="F104" s="3" t="s">
        <v>25</v>
      </c>
      <c r="G104" s="3" t="s">
        <v>26</v>
      </c>
      <c r="H104" s="3">
        <v>1</v>
      </c>
      <c r="I104" s="5">
        <v>249.99</v>
      </c>
      <c r="J104" s="3" t="s">
        <v>33</v>
      </c>
      <c r="K104" s="3" t="s">
        <v>57</v>
      </c>
      <c r="L104" s="3" t="s">
        <v>34</v>
      </c>
      <c r="M104" s="4">
        <v>44685</v>
      </c>
      <c r="N104" s="5">
        <v>249.99</v>
      </c>
      <c r="O104" s="6">
        <f t="shared" si="5"/>
        <v>45536</v>
      </c>
      <c r="P104" s="4">
        <f t="shared" si="6"/>
        <v>45565</v>
      </c>
      <c r="Q104" s="3">
        <f t="shared" si="7"/>
        <v>2</v>
      </c>
      <c r="R104" s="7">
        <f t="shared" ca="1" si="8"/>
        <v>787</v>
      </c>
      <c r="S104" s="3">
        <f t="shared" si="9"/>
        <v>3</v>
      </c>
      <c r="T104" s="3" t="str">
        <f>IF(COUNTIF($D$2:D104,D104)=1,"First","Repeat")</f>
        <v>Repeat</v>
      </c>
      <c r="U104" s="3" t="str">
        <f>IF(AND($K104=DateTime_Filter!$C$21,$N104&gt;=DateTime_Filter!$C$22),MAX(U$1:U103)+1,"")</f>
        <v/>
      </c>
    </row>
    <row r="105" spans="1:21" x14ac:dyDescent="0.35">
      <c r="A105" s="3" t="s">
        <v>245</v>
      </c>
      <c r="B105" s="4">
        <v>45538</v>
      </c>
      <c r="C105" s="3" t="s">
        <v>233</v>
      </c>
      <c r="D105" s="3" t="s">
        <v>234</v>
      </c>
      <c r="E105" s="3" t="s">
        <v>87</v>
      </c>
      <c r="F105" s="3" t="s">
        <v>88</v>
      </c>
      <c r="G105" s="3" t="s">
        <v>26</v>
      </c>
      <c r="H105" s="3">
        <v>2</v>
      </c>
      <c r="I105" s="5">
        <v>699.99</v>
      </c>
      <c r="J105" s="3" t="s">
        <v>64</v>
      </c>
      <c r="K105" s="3" t="s">
        <v>28</v>
      </c>
      <c r="L105" s="3" t="s">
        <v>34</v>
      </c>
      <c r="M105" s="4">
        <v>44870</v>
      </c>
      <c r="N105" s="5">
        <v>1399.98</v>
      </c>
      <c r="O105" s="6">
        <f t="shared" si="5"/>
        <v>45536</v>
      </c>
      <c r="P105" s="4">
        <f t="shared" si="6"/>
        <v>45565</v>
      </c>
      <c r="Q105" s="3">
        <f t="shared" si="7"/>
        <v>1</v>
      </c>
      <c r="R105" s="7">
        <f t="shared" ca="1" si="8"/>
        <v>786</v>
      </c>
      <c r="S105" s="3">
        <f t="shared" si="9"/>
        <v>8</v>
      </c>
      <c r="T105" s="3" t="str">
        <f>IF(COUNTIF($D$2:D105,D105)=1,"First","Repeat")</f>
        <v>Repeat</v>
      </c>
      <c r="U105" s="3" t="str">
        <f>IF(AND($K105=DateTime_Filter!$C$21,$N105&gt;=DateTime_Filter!$C$22),MAX(U$1:U104)+1,"")</f>
        <v/>
      </c>
    </row>
    <row r="106" spans="1:21" x14ac:dyDescent="0.35">
      <c r="A106" s="3" t="s">
        <v>246</v>
      </c>
      <c r="B106" s="4">
        <v>45541</v>
      </c>
      <c r="C106" s="3" t="s">
        <v>145</v>
      </c>
      <c r="D106" s="3" t="s">
        <v>146</v>
      </c>
      <c r="E106" s="3" t="s">
        <v>38</v>
      </c>
      <c r="F106" s="3" t="s">
        <v>39</v>
      </c>
      <c r="G106" s="3" t="s">
        <v>40</v>
      </c>
      <c r="H106" s="3">
        <v>3</v>
      </c>
      <c r="I106" s="5">
        <v>59.99</v>
      </c>
      <c r="J106" s="3" t="s">
        <v>33</v>
      </c>
      <c r="K106" s="3" t="s">
        <v>28</v>
      </c>
      <c r="L106" s="3" t="s">
        <v>34</v>
      </c>
      <c r="M106" s="4">
        <v>44717</v>
      </c>
      <c r="N106" s="5">
        <v>179.97</v>
      </c>
      <c r="O106" s="6">
        <f t="shared" si="5"/>
        <v>45536</v>
      </c>
      <c r="P106" s="4">
        <f t="shared" si="6"/>
        <v>45565</v>
      </c>
      <c r="Q106" s="3">
        <f t="shared" si="7"/>
        <v>2</v>
      </c>
      <c r="R106" s="7">
        <f t="shared" ca="1" si="8"/>
        <v>783</v>
      </c>
      <c r="S106" s="3">
        <f t="shared" si="9"/>
        <v>6</v>
      </c>
      <c r="T106" s="3" t="str">
        <f>IF(COUNTIF($D$2:D106,D106)=1,"First","Repeat")</f>
        <v>Repeat</v>
      </c>
      <c r="U106" s="3" t="str">
        <f>IF(AND($K106=DateTime_Filter!$C$21,$N106&gt;=DateTime_Filter!$C$22),MAX(U$1:U105)+1,"")</f>
        <v/>
      </c>
    </row>
    <row r="107" spans="1:21" x14ac:dyDescent="0.35">
      <c r="A107" s="3" t="s">
        <v>247</v>
      </c>
      <c r="B107" s="4">
        <v>45544</v>
      </c>
      <c r="C107" s="3" t="s">
        <v>148</v>
      </c>
      <c r="D107" s="3" t="s">
        <v>149</v>
      </c>
      <c r="E107" s="3" t="s">
        <v>124</v>
      </c>
      <c r="F107" s="3" t="s">
        <v>125</v>
      </c>
      <c r="G107" s="3" t="s">
        <v>40</v>
      </c>
      <c r="H107" s="3">
        <v>4</v>
      </c>
      <c r="I107" s="5">
        <v>79.989999999999995</v>
      </c>
      <c r="J107" s="3" t="s">
        <v>27</v>
      </c>
      <c r="K107" s="3" t="s">
        <v>47</v>
      </c>
      <c r="L107" s="3" t="s">
        <v>29</v>
      </c>
      <c r="M107" s="4">
        <v>44530</v>
      </c>
      <c r="N107" s="5">
        <v>319.95999999999998</v>
      </c>
      <c r="O107" s="6">
        <f t="shared" si="5"/>
        <v>45536</v>
      </c>
      <c r="P107" s="4">
        <f t="shared" si="6"/>
        <v>45565</v>
      </c>
      <c r="Q107" s="3">
        <f t="shared" si="7"/>
        <v>2</v>
      </c>
      <c r="R107" s="7">
        <f t="shared" ca="1" si="8"/>
        <v>780</v>
      </c>
      <c r="S107" s="3">
        <f t="shared" si="9"/>
        <v>4</v>
      </c>
      <c r="T107" s="3" t="str">
        <f>IF(COUNTIF($D$2:D107,D107)=1,"First","Repeat")</f>
        <v>Repeat</v>
      </c>
      <c r="U107" s="3" t="str">
        <f>IF(AND($K107=DateTime_Filter!$C$21,$N107&gt;=DateTime_Filter!$C$22),MAX(U$1:U106)+1,"")</f>
        <v/>
      </c>
    </row>
    <row r="108" spans="1:21" x14ac:dyDescent="0.35">
      <c r="A108" s="3" t="s">
        <v>248</v>
      </c>
      <c r="B108" s="4">
        <v>45544</v>
      </c>
      <c r="C108" s="3" t="s">
        <v>139</v>
      </c>
      <c r="D108" s="3" t="s">
        <v>140</v>
      </c>
      <c r="E108" s="3" t="s">
        <v>38</v>
      </c>
      <c r="F108" s="3" t="s">
        <v>39</v>
      </c>
      <c r="G108" s="3" t="s">
        <v>40</v>
      </c>
      <c r="H108" s="3">
        <v>3</v>
      </c>
      <c r="I108" s="5">
        <v>59.99</v>
      </c>
      <c r="J108" s="3" t="s">
        <v>41</v>
      </c>
      <c r="K108" s="3" t="s">
        <v>70</v>
      </c>
      <c r="L108" s="3" t="s">
        <v>43</v>
      </c>
      <c r="M108" s="4">
        <v>44748</v>
      </c>
      <c r="N108" s="5">
        <v>179.97</v>
      </c>
      <c r="O108" s="6">
        <f t="shared" si="5"/>
        <v>45536</v>
      </c>
      <c r="P108" s="4">
        <f t="shared" si="6"/>
        <v>45565</v>
      </c>
      <c r="Q108" s="3">
        <f t="shared" si="7"/>
        <v>2</v>
      </c>
      <c r="R108" s="7">
        <f t="shared" ca="1" si="8"/>
        <v>780</v>
      </c>
      <c r="S108" s="3">
        <f t="shared" si="9"/>
        <v>5</v>
      </c>
      <c r="T108" s="3" t="str">
        <f>IF(COUNTIF($D$2:D108,D108)=1,"First","Repeat")</f>
        <v>Repeat</v>
      </c>
      <c r="U108" s="3" t="str">
        <f>IF(AND($K108=DateTime_Filter!$C$21,$N108&gt;=DateTime_Filter!$C$22),MAX(U$1:U107)+1,"")</f>
        <v/>
      </c>
    </row>
    <row r="109" spans="1:21" x14ac:dyDescent="0.35">
      <c r="A109" s="3" t="s">
        <v>249</v>
      </c>
      <c r="B109" s="4">
        <v>45545</v>
      </c>
      <c r="C109" s="3" t="s">
        <v>62</v>
      </c>
      <c r="D109" s="3" t="s">
        <v>63</v>
      </c>
      <c r="E109" s="3" t="s">
        <v>124</v>
      </c>
      <c r="F109" s="3" t="s">
        <v>125</v>
      </c>
      <c r="G109" s="3" t="s">
        <v>40</v>
      </c>
      <c r="H109" s="3">
        <v>1</v>
      </c>
      <c r="I109" s="5">
        <v>79.989999999999995</v>
      </c>
      <c r="J109" s="3" t="s">
        <v>27</v>
      </c>
      <c r="K109" s="3" t="s">
        <v>57</v>
      </c>
      <c r="L109" s="3" t="s">
        <v>29</v>
      </c>
      <c r="M109" s="4">
        <v>44693</v>
      </c>
      <c r="N109" s="5">
        <v>79.989999999999995</v>
      </c>
      <c r="O109" s="6">
        <f t="shared" si="5"/>
        <v>45536</v>
      </c>
      <c r="P109" s="4">
        <f t="shared" si="6"/>
        <v>45565</v>
      </c>
      <c r="Q109" s="3">
        <f t="shared" si="7"/>
        <v>2</v>
      </c>
      <c r="R109" s="7">
        <f t="shared" ca="1" si="8"/>
        <v>779</v>
      </c>
      <c r="S109" s="3">
        <f t="shared" si="9"/>
        <v>9</v>
      </c>
      <c r="T109" s="3" t="str">
        <f>IF(COUNTIF($D$2:D109,D109)=1,"First","Repeat")</f>
        <v>Repeat</v>
      </c>
      <c r="U109" s="3" t="str">
        <f>IF(AND($K109=DateTime_Filter!$C$21,$N109&gt;=DateTime_Filter!$C$22),MAX(U$1:U108)+1,"")</f>
        <v/>
      </c>
    </row>
    <row r="110" spans="1:21" x14ac:dyDescent="0.35">
      <c r="A110" s="3" t="s">
        <v>250</v>
      </c>
      <c r="B110" s="4">
        <v>45547</v>
      </c>
      <c r="C110" s="3" t="s">
        <v>55</v>
      </c>
      <c r="D110" s="3" t="s">
        <v>56</v>
      </c>
      <c r="E110" s="3" t="s">
        <v>112</v>
      </c>
      <c r="F110" s="3" t="s">
        <v>113</v>
      </c>
      <c r="G110" s="3" t="s">
        <v>53</v>
      </c>
      <c r="H110" s="3">
        <v>3</v>
      </c>
      <c r="I110" s="5">
        <v>299.99</v>
      </c>
      <c r="J110" s="3" t="s">
        <v>33</v>
      </c>
      <c r="K110" s="3" t="s">
        <v>28</v>
      </c>
      <c r="L110" s="3" t="s">
        <v>34</v>
      </c>
      <c r="M110" s="4">
        <v>44494</v>
      </c>
      <c r="N110" s="5">
        <v>899.97</v>
      </c>
      <c r="O110" s="6">
        <f t="shared" si="5"/>
        <v>45536</v>
      </c>
      <c r="P110" s="4">
        <f t="shared" si="6"/>
        <v>45565</v>
      </c>
      <c r="Q110" s="3">
        <f t="shared" si="7"/>
        <v>2</v>
      </c>
      <c r="R110" s="7">
        <f t="shared" ca="1" si="8"/>
        <v>777</v>
      </c>
      <c r="S110" s="3">
        <f t="shared" si="9"/>
        <v>6</v>
      </c>
      <c r="T110" s="3" t="str">
        <f>IF(COUNTIF($D$2:D110,D110)=1,"First","Repeat")</f>
        <v>Repeat</v>
      </c>
      <c r="U110" s="3" t="str">
        <f>IF(AND($K110=DateTime_Filter!$C$21,$N110&gt;=DateTime_Filter!$C$22),MAX(U$1:U109)+1,"")</f>
        <v/>
      </c>
    </row>
    <row r="111" spans="1:21" x14ac:dyDescent="0.35">
      <c r="A111" s="3" t="s">
        <v>251</v>
      </c>
      <c r="B111" s="4">
        <v>45548</v>
      </c>
      <c r="C111" s="3" t="s">
        <v>45</v>
      </c>
      <c r="D111" s="3" t="s">
        <v>46</v>
      </c>
      <c r="E111" s="3" t="s">
        <v>118</v>
      </c>
      <c r="F111" s="3" t="s">
        <v>119</v>
      </c>
      <c r="G111" s="3" t="s">
        <v>26</v>
      </c>
      <c r="H111" s="3">
        <v>2</v>
      </c>
      <c r="I111" s="5">
        <v>89.99</v>
      </c>
      <c r="J111" s="3" t="s">
        <v>33</v>
      </c>
      <c r="K111" s="3" t="s">
        <v>42</v>
      </c>
      <c r="L111" s="3" t="s">
        <v>34</v>
      </c>
      <c r="M111" s="4">
        <v>44641</v>
      </c>
      <c r="N111" s="5">
        <v>179.98</v>
      </c>
      <c r="O111" s="6">
        <f t="shared" si="5"/>
        <v>45536</v>
      </c>
      <c r="P111" s="4">
        <f t="shared" si="6"/>
        <v>45565</v>
      </c>
      <c r="Q111" s="3">
        <f t="shared" si="7"/>
        <v>2</v>
      </c>
      <c r="R111" s="7">
        <f t="shared" ca="1" si="8"/>
        <v>776</v>
      </c>
      <c r="S111" s="3">
        <f t="shared" si="9"/>
        <v>6</v>
      </c>
      <c r="T111" s="3" t="str">
        <f>IF(COUNTIF($D$2:D111,D111)=1,"First","Repeat")</f>
        <v>Repeat</v>
      </c>
      <c r="U111" s="3" t="str">
        <f>IF(AND($K111=DateTime_Filter!$C$21,$N111&gt;=DateTime_Filter!$C$22),MAX(U$1:U110)+1,"")</f>
        <v/>
      </c>
    </row>
    <row r="112" spans="1:21" x14ac:dyDescent="0.35">
      <c r="A112" s="3" t="s">
        <v>252</v>
      </c>
      <c r="B112" s="4">
        <v>45550</v>
      </c>
      <c r="C112" s="3" t="s">
        <v>253</v>
      </c>
      <c r="D112" s="3" t="s">
        <v>254</v>
      </c>
      <c r="E112" s="3" t="s">
        <v>59</v>
      </c>
      <c r="F112" s="3" t="s">
        <v>60</v>
      </c>
      <c r="G112" s="3" t="s">
        <v>26</v>
      </c>
      <c r="H112" s="3">
        <v>4</v>
      </c>
      <c r="I112" s="5">
        <v>149.99</v>
      </c>
      <c r="J112" s="3" t="s">
        <v>27</v>
      </c>
      <c r="K112" s="3" t="s">
        <v>47</v>
      </c>
      <c r="L112" s="3" t="s">
        <v>29</v>
      </c>
      <c r="M112" s="4">
        <v>44909</v>
      </c>
      <c r="N112" s="5">
        <v>599.96</v>
      </c>
      <c r="O112" s="6">
        <f t="shared" si="5"/>
        <v>45536</v>
      </c>
      <c r="P112" s="4">
        <f t="shared" si="6"/>
        <v>45565</v>
      </c>
      <c r="Q112" s="3">
        <f t="shared" si="7"/>
        <v>1</v>
      </c>
      <c r="R112" s="7">
        <f t="shared" ca="1" si="8"/>
        <v>774</v>
      </c>
      <c r="S112" s="3">
        <f t="shared" si="9"/>
        <v>3</v>
      </c>
      <c r="T112" s="3" t="str">
        <f>IF(COUNTIF($D$2:D112,D112)=1,"First","Repeat")</f>
        <v>First</v>
      </c>
      <c r="U112" s="3" t="str">
        <f>IF(AND($K112=DateTime_Filter!$C$21,$N112&gt;=DateTime_Filter!$C$22),MAX(U$1:U111)+1,"")</f>
        <v/>
      </c>
    </row>
    <row r="113" spans="1:21" x14ac:dyDescent="0.35">
      <c r="A113" s="3" t="s">
        <v>255</v>
      </c>
      <c r="B113" s="4">
        <v>45551</v>
      </c>
      <c r="C113" s="3" t="s">
        <v>161</v>
      </c>
      <c r="D113" s="3" t="s">
        <v>162</v>
      </c>
      <c r="E113" s="3" t="s">
        <v>130</v>
      </c>
      <c r="F113" s="3" t="s">
        <v>131</v>
      </c>
      <c r="G113" s="3" t="s">
        <v>53</v>
      </c>
      <c r="H113" s="3">
        <v>4</v>
      </c>
      <c r="I113" s="5">
        <v>199.99</v>
      </c>
      <c r="J113" s="3" t="s">
        <v>64</v>
      </c>
      <c r="K113" s="3" t="s">
        <v>70</v>
      </c>
      <c r="L113" s="3" t="s">
        <v>29</v>
      </c>
      <c r="M113" s="4">
        <v>44458</v>
      </c>
      <c r="N113" s="5">
        <v>799.96</v>
      </c>
      <c r="O113" s="6">
        <f t="shared" si="5"/>
        <v>45536</v>
      </c>
      <c r="P113" s="4">
        <f t="shared" si="6"/>
        <v>45565</v>
      </c>
      <c r="Q113" s="3">
        <f t="shared" si="7"/>
        <v>2</v>
      </c>
      <c r="R113" s="7">
        <f t="shared" ca="1" si="8"/>
        <v>773</v>
      </c>
      <c r="S113" s="3">
        <f t="shared" si="9"/>
        <v>5</v>
      </c>
      <c r="T113" s="3" t="str">
        <f>IF(COUNTIF($D$2:D113,D113)=1,"First","Repeat")</f>
        <v>Repeat</v>
      </c>
      <c r="U113" s="3" t="str">
        <f>IF(AND($K113=DateTime_Filter!$C$21,$N113&gt;=DateTime_Filter!$C$22),MAX(U$1:U112)+1,"")</f>
        <v/>
      </c>
    </row>
    <row r="114" spans="1:21" x14ac:dyDescent="0.35">
      <c r="A114" s="3" t="s">
        <v>256</v>
      </c>
      <c r="B114" s="4">
        <v>45551</v>
      </c>
      <c r="C114" s="3" t="s">
        <v>75</v>
      </c>
      <c r="D114" s="3" t="s">
        <v>76</v>
      </c>
      <c r="E114" s="3" t="s">
        <v>24</v>
      </c>
      <c r="F114" s="3" t="s">
        <v>25</v>
      </c>
      <c r="G114" s="3" t="s">
        <v>26</v>
      </c>
      <c r="H114" s="3">
        <v>2</v>
      </c>
      <c r="I114" s="5">
        <v>249.99</v>
      </c>
      <c r="J114" s="3" t="s">
        <v>41</v>
      </c>
      <c r="K114" s="3" t="s">
        <v>42</v>
      </c>
      <c r="L114" s="3" t="s">
        <v>29</v>
      </c>
      <c r="M114" s="4">
        <v>44993</v>
      </c>
      <c r="N114" s="5">
        <v>499.98</v>
      </c>
      <c r="O114" s="6">
        <f t="shared" si="5"/>
        <v>45536</v>
      </c>
      <c r="P114" s="4">
        <f t="shared" si="6"/>
        <v>45565</v>
      </c>
      <c r="Q114" s="3">
        <f t="shared" si="7"/>
        <v>1</v>
      </c>
      <c r="R114" s="7">
        <f t="shared" ca="1" si="8"/>
        <v>773</v>
      </c>
      <c r="S114" s="3">
        <f t="shared" si="9"/>
        <v>8</v>
      </c>
      <c r="T114" s="3" t="str">
        <f>IF(COUNTIF($D$2:D114,D114)=1,"First","Repeat")</f>
        <v>Repeat</v>
      </c>
      <c r="U114" s="3" t="str">
        <f>IF(AND($K114=DateTime_Filter!$C$21,$N114&gt;=DateTime_Filter!$C$22),MAX(U$1:U113)+1,"")</f>
        <v/>
      </c>
    </row>
    <row r="115" spans="1:21" x14ac:dyDescent="0.35">
      <c r="A115" s="3" t="s">
        <v>257</v>
      </c>
      <c r="B115" s="4">
        <v>45554</v>
      </c>
      <c r="C115" s="3" t="s">
        <v>154</v>
      </c>
      <c r="D115" s="3" t="s">
        <v>155</v>
      </c>
      <c r="E115" s="3" t="s">
        <v>118</v>
      </c>
      <c r="F115" s="3" t="s">
        <v>119</v>
      </c>
      <c r="G115" s="3" t="s">
        <v>26</v>
      </c>
      <c r="H115" s="3">
        <v>5</v>
      </c>
      <c r="I115" s="5">
        <v>89.99</v>
      </c>
      <c r="J115" s="3" t="s">
        <v>33</v>
      </c>
      <c r="K115" s="3" t="s">
        <v>70</v>
      </c>
      <c r="L115" s="3" t="s">
        <v>34</v>
      </c>
      <c r="M115" s="4">
        <v>44446</v>
      </c>
      <c r="N115" s="5">
        <v>449.95</v>
      </c>
      <c r="O115" s="6">
        <f t="shared" si="5"/>
        <v>45536</v>
      </c>
      <c r="P115" s="4">
        <f t="shared" si="6"/>
        <v>45565</v>
      </c>
      <c r="Q115" s="3">
        <f t="shared" si="7"/>
        <v>3</v>
      </c>
      <c r="R115" s="7">
        <f t="shared" ca="1" si="8"/>
        <v>770</v>
      </c>
      <c r="S115" s="3">
        <f t="shared" si="9"/>
        <v>7</v>
      </c>
      <c r="T115" s="3" t="str">
        <f>IF(COUNTIF($D$2:D115,D115)=1,"First","Repeat")</f>
        <v>Repeat</v>
      </c>
      <c r="U115" s="3" t="str">
        <f>IF(AND($K115=DateTime_Filter!$C$21,$N115&gt;=DateTime_Filter!$C$22),MAX(U$1:U114)+1,"")</f>
        <v/>
      </c>
    </row>
    <row r="116" spans="1:21" x14ac:dyDescent="0.35">
      <c r="A116" s="3" t="s">
        <v>258</v>
      </c>
      <c r="B116" s="4">
        <v>45554</v>
      </c>
      <c r="C116" s="3" t="s">
        <v>259</v>
      </c>
      <c r="D116" s="3" t="s">
        <v>260</v>
      </c>
      <c r="E116" s="3" t="s">
        <v>59</v>
      </c>
      <c r="F116" s="3" t="s">
        <v>60</v>
      </c>
      <c r="G116" s="3" t="s">
        <v>26</v>
      </c>
      <c r="H116" s="3">
        <v>1</v>
      </c>
      <c r="I116" s="5">
        <v>149.99</v>
      </c>
      <c r="J116" s="3" t="s">
        <v>41</v>
      </c>
      <c r="K116" s="3" t="s">
        <v>70</v>
      </c>
      <c r="L116" s="3" t="s">
        <v>43</v>
      </c>
      <c r="M116" s="4">
        <v>44482</v>
      </c>
      <c r="N116" s="5">
        <v>149.99</v>
      </c>
      <c r="O116" s="6">
        <f t="shared" si="5"/>
        <v>45536</v>
      </c>
      <c r="P116" s="4">
        <f t="shared" si="6"/>
        <v>45565</v>
      </c>
      <c r="Q116" s="3">
        <f t="shared" si="7"/>
        <v>2</v>
      </c>
      <c r="R116" s="7">
        <f t="shared" ca="1" si="8"/>
        <v>770</v>
      </c>
      <c r="S116" s="3">
        <f t="shared" si="9"/>
        <v>3</v>
      </c>
      <c r="T116" s="3" t="str">
        <f>IF(COUNTIF($D$2:D116,D116)=1,"First","Repeat")</f>
        <v>First</v>
      </c>
      <c r="U116" s="3" t="str">
        <f>IF(AND($K116=DateTime_Filter!$C$21,$N116&gt;=DateTime_Filter!$C$22),MAX(U$1:U115)+1,"")</f>
        <v/>
      </c>
    </row>
    <row r="117" spans="1:21" x14ac:dyDescent="0.35">
      <c r="A117" s="3" t="s">
        <v>261</v>
      </c>
      <c r="B117" s="4">
        <v>45554</v>
      </c>
      <c r="C117" s="3" t="s">
        <v>79</v>
      </c>
      <c r="D117" s="3" t="s">
        <v>80</v>
      </c>
      <c r="E117" s="3" t="s">
        <v>87</v>
      </c>
      <c r="F117" s="3" t="s">
        <v>88</v>
      </c>
      <c r="G117" s="3" t="s">
        <v>26</v>
      </c>
      <c r="H117" s="3">
        <v>4</v>
      </c>
      <c r="I117" s="5">
        <v>699.99</v>
      </c>
      <c r="J117" s="3" t="s">
        <v>41</v>
      </c>
      <c r="K117" s="3" t="s">
        <v>42</v>
      </c>
      <c r="L117" s="3" t="s">
        <v>29</v>
      </c>
      <c r="M117" s="4">
        <v>44618</v>
      </c>
      <c r="N117" s="5">
        <v>2799.96</v>
      </c>
      <c r="O117" s="6">
        <f t="shared" si="5"/>
        <v>45536</v>
      </c>
      <c r="P117" s="4">
        <f t="shared" si="6"/>
        <v>45565</v>
      </c>
      <c r="Q117" s="3">
        <f t="shared" si="7"/>
        <v>2</v>
      </c>
      <c r="R117" s="7">
        <f t="shared" ca="1" si="8"/>
        <v>770</v>
      </c>
      <c r="S117" s="3">
        <f t="shared" si="9"/>
        <v>5</v>
      </c>
      <c r="T117" s="3" t="str">
        <f>IF(COUNTIF($D$2:D117,D117)=1,"First","Repeat")</f>
        <v>Repeat</v>
      </c>
      <c r="U117" s="3" t="str">
        <f>IF(AND($K117=DateTime_Filter!$C$21,$N117&gt;=DateTime_Filter!$C$22),MAX(U$1:U116)+1,"")</f>
        <v/>
      </c>
    </row>
    <row r="118" spans="1:21" x14ac:dyDescent="0.35">
      <c r="A118" s="3" t="s">
        <v>262</v>
      </c>
      <c r="B118" s="4">
        <v>45559</v>
      </c>
      <c r="C118" s="3" t="s">
        <v>241</v>
      </c>
      <c r="D118" s="3" t="s">
        <v>242</v>
      </c>
      <c r="E118" s="3" t="s">
        <v>68</v>
      </c>
      <c r="F118" s="3" t="s">
        <v>69</v>
      </c>
      <c r="G118" s="3" t="s">
        <v>26</v>
      </c>
      <c r="H118" s="3">
        <v>3</v>
      </c>
      <c r="I118" s="5">
        <v>899.99</v>
      </c>
      <c r="J118" s="3" t="s">
        <v>33</v>
      </c>
      <c r="K118" s="3" t="s">
        <v>47</v>
      </c>
      <c r="L118" s="3" t="s">
        <v>43</v>
      </c>
      <c r="M118" s="4">
        <v>45157</v>
      </c>
      <c r="N118" s="5">
        <v>2699.97</v>
      </c>
      <c r="O118" s="6">
        <f t="shared" si="5"/>
        <v>45536</v>
      </c>
      <c r="P118" s="4">
        <f t="shared" si="6"/>
        <v>45565</v>
      </c>
      <c r="Q118" s="3">
        <f t="shared" si="7"/>
        <v>1</v>
      </c>
      <c r="R118" s="7">
        <f t="shared" ca="1" si="8"/>
        <v>765</v>
      </c>
      <c r="S118" s="3">
        <f t="shared" si="9"/>
        <v>5</v>
      </c>
      <c r="T118" s="3" t="str">
        <f>IF(COUNTIF($D$2:D118,D118)=1,"First","Repeat")</f>
        <v>Repeat</v>
      </c>
      <c r="U118" s="3">
        <f>IF(AND($K118=DateTime_Filter!$C$21,$N118&gt;=DateTime_Filter!$C$22),MAX(U$1:U117)+1,"")</f>
        <v>5</v>
      </c>
    </row>
    <row r="119" spans="1:21" x14ac:dyDescent="0.35">
      <c r="A119" s="3" t="s">
        <v>263</v>
      </c>
      <c r="B119" s="4">
        <v>45560</v>
      </c>
      <c r="C119" s="3" t="s">
        <v>122</v>
      </c>
      <c r="D119" s="3" t="s">
        <v>123</v>
      </c>
      <c r="E119" s="3" t="s">
        <v>51</v>
      </c>
      <c r="F119" s="3" t="s">
        <v>52</v>
      </c>
      <c r="G119" s="3" t="s">
        <v>53</v>
      </c>
      <c r="H119" s="3">
        <v>3</v>
      </c>
      <c r="I119" s="5">
        <v>149.99</v>
      </c>
      <c r="J119" s="3" t="s">
        <v>41</v>
      </c>
      <c r="K119" s="3" t="s">
        <v>70</v>
      </c>
      <c r="L119" s="3" t="s">
        <v>29</v>
      </c>
      <c r="M119" s="4">
        <v>44886</v>
      </c>
      <c r="N119" s="5">
        <v>449.97</v>
      </c>
      <c r="O119" s="6">
        <f t="shared" si="5"/>
        <v>45536</v>
      </c>
      <c r="P119" s="4">
        <f t="shared" si="6"/>
        <v>45565</v>
      </c>
      <c r="Q119" s="3">
        <f t="shared" si="7"/>
        <v>1</v>
      </c>
      <c r="R119" s="7">
        <f t="shared" ca="1" si="8"/>
        <v>764</v>
      </c>
      <c r="S119" s="3">
        <f t="shared" si="9"/>
        <v>4</v>
      </c>
      <c r="T119" s="3" t="str">
        <f>IF(COUNTIF($D$2:D119,D119)=1,"First","Repeat")</f>
        <v>Repeat</v>
      </c>
      <c r="U119" s="3" t="str">
        <f>IF(AND($K119=DateTime_Filter!$C$21,$N119&gt;=DateTime_Filter!$C$22),MAX(U$1:U118)+1,"")</f>
        <v/>
      </c>
    </row>
    <row r="120" spans="1:21" x14ac:dyDescent="0.35">
      <c r="A120" s="3" t="s">
        <v>264</v>
      </c>
      <c r="B120" s="4">
        <v>45563</v>
      </c>
      <c r="C120" s="3" t="s">
        <v>106</v>
      </c>
      <c r="D120" s="3" t="s">
        <v>107</v>
      </c>
      <c r="E120" s="3" t="s">
        <v>112</v>
      </c>
      <c r="F120" s="3" t="s">
        <v>113</v>
      </c>
      <c r="G120" s="3" t="s">
        <v>53</v>
      </c>
      <c r="H120" s="3">
        <v>2</v>
      </c>
      <c r="I120" s="5">
        <v>299.99</v>
      </c>
      <c r="J120" s="3" t="s">
        <v>64</v>
      </c>
      <c r="K120" s="3" t="s">
        <v>28</v>
      </c>
      <c r="L120" s="3" t="s">
        <v>29</v>
      </c>
      <c r="M120" s="4">
        <v>44569</v>
      </c>
      <c r="N120" s="5">
        <v>599.98</v>
      </c>
      <c r="O120" s="6">
        <f t="shared" si="5"/>
        <v>45536</v>
      </c>
      <c r="P120" s="4">
        <f t="shared" si="6"/>
        <v>45565</v>
      </c>
      <c r="Q120" s="3">
        <f t="shared" si="7"/>
        <v>2</v>
      </c>
      <c r="R120" s="7">
        <f t="shared" ca="1" si="8"/>
        <v>761</v>
      </c>
      <c r="S120" s="3">
        <f t="shared" si="9"/>
        <v>8</v>
      </c>
      <c r="T120" s="3" t="str">
        <f>IF(COUNTIF($D$2:D120,D120)=1,"First","Repeat")</f>
        <v>Repeat</v>
      </c>
      <c r="U120" s="3" t="str">
        <f>IF(AND($K120=DateTime_Filter!$C$21,$N120&gt;=DateTime_Filter!$C$22),MAX(U$1:U119)+1,"")</f>
        <v/>
      </c>
    </row>
    <row r="121" spans="1:21" x14ac:dyDescent="0.35">
      <c r="A121" s="3" t="s">
        <v>265</v>
      </c>
      <c r="B121" s="4">
        <v>45564</v>
      </c>
      <c r="C121" s="3" t="s">
        <v>266</v>
      </c>
      <c r="D121" s="3" t="s">
        <v>267</v>
      </c>
      <c r="E121" s="3" t="s">
        <v>130</v>
      </c>
      <c r="F121" s="3" t="s">
        <v>131</v>
      </c>
      <c r="G121" s="3" t="s">
        <v>53</v>
      </c>
      <c r="H121" s="3">
        <v>1</v>
      </c>
      <c r="I121" s="5">
        <v>199.99</v>
      </c>
      <c r="J121" s="3" t="s">
        <v>64</v>
      </c>
      <c r="K121" s="3" t="s">
        <v>70</v>
      </c>
      <c r="L121" s="3" t="s">
        <v>43</v>
      </c>
      <c r="M121" s="4">
        <v>44953</v>
      </c>
      <c r="N121" s="5">
        <v>199.99</v>
      </c>
      <c r="O121" s="6">
        <f t="shared" si="5"/>
        <v>45536</v>
      </c>
      <c r="P121" s="4">
        <f t="shared" si="6"/>
        <v>45565</v>
      </c>
      <c r="Q121" s="3">
        <f t="shared" si="7"/>
        <v>1</v>
      </c>
      <c r="R121" s="7">
        <f t="shared" ca="1" si="8"/>
        <v>760</v>
      </c>
      <c r="S121" s="3">
        <f t="shared" si="9"/>
        <v>3</v>
      </c>
      <c r="T121" s="3" t="str">
        <f>IF(COUNTIF($D$2:D121,D121)=1,"First","Repeat")</f>
        <v>First</v>
      </c>
      <c r="U121" s="3" t="str">
        <f>IF(AND($K121=DateTime_Filter!$C$21,$N121&gt;=DateTime_Filter!$C$22),MAX(U$1:U120)+1,"")</f>
        <v/>
      </c>
    </row>
    <row r="122" spans="1:21" x14ac:dyDescent="0.35">
      <c r="A122" s="3" t="s">
        <v>268</v>
      </c>
      <c r="B122" s="4">
        <v>45566</v>
      </c>
      <c r="C122" s="3" t="s">
        <v>49</v>
      </c>
      <c r="D122" s="3" t="s">
        <v>50</v>
      </c>
      <c r="E122" s="3" t="s">
        <v>112</v>
      </c>
      <c r="F122" s="3" t="s">
        <v>113</v>
      </c>
      <c r="G122" s="3" t="s">
        <v>53</v>
      </c>
      <c r="H122" s="3">
        <v>4</v>
      </c>
      <c r="I122" s="5">
        <v>299.99</v>
      </c>
      <c r="J122" s="3" t="s">
        <v>27</v>
      </c>
      <c r="K122" s="3" t="s">
        <v>28</v>
      </c>
      <c r="L122" s="3" t="s">
        <v>34</v>
      </c>
      <c r="M122" s="4">
        <v>44460</v>
      </c>
      <c r="N122" s="5">
        <v>1199.96</v>
      </c>
      <c r="O122" s="6">
        <f t="shared" si="5"/>
        <v>45566</v>
      </c>
      <c r="P122" s="4">
        <f t="shared" si="6"/>
        <v>45596</v>
      </c>
      <c r="Q122" s="3">
        <f t="shared" si="7"/>
        <v>3</v>
      </c>
      <c r="R122" s="7">
        <f t="shared" ca="1" si="8"/>
        <v>758</v>
      </c>
      <c r="S122" s="3">
        <f t="shared" si="9"/>
        <v>9</v>
      </c>
      <c r="T122" s="3" t="str">
        <f>IF(COUNTIF($D$2:D122,D122)=1,"First","Repeat")</f>
        <v>Repeat</v>
      </c>
      <c r="U122" s="3" t="str">
        <f>IF(AND($K122=DateTime_Filter!$C$21,$N122&gt;=DateTime_Filter!$C$22),MAX(U$1:U121)+1,"")</f>
        <v/>
      </c>
    </row>
    <row r="123" spans="1:21" x14ac:dyDescent="0.35">
      <c r="A123" s="3" t="s">
        <v>269</v>
      </c>
      <c r="B123" s="4">
        <v>45572</v>
      </c>
      <c r="C123" s="3" t="s">
        <v>97</v>
      </c>
      <c r="D123" s="3" t="s">
        <v>98</v>
      </c>
      <c r="E123" s="3" t="s">
        <v>38</v>
      </c>
      <c r="F123" s="3" t="s">
        <v>39</v>
      </c>
      <c r="G123" s="3" t="s">
        <v>40</v>
      </c>
      <c r="H123" s="3">
        <v>2</v>
      </c>
      <c r="I123" s="5">
        <v>59.99</v>
      </c>
      <c r="J123" s="3" t="s">
        <v>33</v>
      </c>
      <c r="K123" s="3" t="s">
        <v>28</v>
      </c>
      <c r="L123" s="3" t="s">
        <v>29</v>
      </c>
      <c r="M123" s="4">
        <v>44579</v>
      </c>
      <c r="N123" s="5">
        <v>119.98</v>
      </c>
      <c r="O123" s="6">
        <f t="shared" si="5"/>
        <v>45566</v>
      </c>
      <c r="P123" s="4">
        <f t="shared" si="6"/>
        <v>45596</v>
      </c>
      <c r="Q123" s="3">
        <f t="shared" si="7"/>
        <v>2</v>
      </c>
      <c r="R123" s="7">
        <f t="shared" ca="1" si="8"/>
        <v>752</v>
      </c>
      <c r="S123" s="3">
        <f t="shared" si="9"/>
        <v>4</v>
      </c>
      <c r="T123" s="3" t="str">
        <f>IF(COUNTIF($D$2:D123,D123)=1,"First","Repeat")</f>
        <v>Repeat</v>
      </c>
      <c r="U123" s="3" t="str">
        <f>IF(AND($K123=DateTime_Filter!$C$21,$N123&gt;=DateTime_Filter!$C$22),MAX(U$1:U122)+1,"")</f>
        <v/>
      </c>
    </row>
    <row r="124" spans="1:21" x14ac:dyDescent="0.35">
      <c r="A124" s="3" t="s">
        <v>270</v>
      </c>
      <c r="B124" s="4">
        <v>45572</v>
      </c>
      <c r="C124" s="3" t="s">
        <v>241</v>
      </c>
      <c r="D124" s="3" t="s">
        <v>242</v>
      </c>
      <c r="E124" s="3" t="s">
        <v>59</v>
      </c>
      <c r="F124" s="3" t="s">
        <v>60</v>
      </c>
      <c r="G124" s="3" t="s">
        <v>26</v>
      </c>
      <c r="H124" s="3">
        <v>4</v>
      </c>
      <c r="I124" s="5">
        <v>149.99</v>
      </c>
      <c r="J124" s="3" t="s">
        <v>33</v>
      </c>
      <c r="K124" s="3" t="s">
        <v>47</v>
      </c>
      <c r="L124" s="3" t="s">
        <v>34</v>
      </c>
      <c r="M124" s="4">
        <v>45076</v>
      </c>
      <c r="N124" s="5">
        <v>599.96</v>
      </c>
      <c r="O124" s="6">
        <f t="shared" si="5"/>
        <v>45566</v>
      </c>
      <c r="P124" s="4">
        <f t="shared" si="6"/>
        <v>45596</v>
      </c>
      <c r="Q124" s="3">
        <f t="shared" si="7"/>
        <v>1</v>
      </c>
      <c r="R124" s="7">
        <f t="shared" ca="1" si="8"/>
        <v>752</v>
      </c>
      <c r="S124" s="3">
        <f t="shared" si="9"/>
        <v>5</v>
      </c>
      <c r="T124" s="3" t="str">
        <f>IF(COUNTIF($D$2:D124,D124)=1,"First","Repeat")</f>
        <v>Repeat</v>
      </c>
      <c r="U124" s="3" t="str">
        <f>IF(AND($K124=DateTime_Filter!$C$21,$N124&gt;=DateTime_Filter!$C$22),MAX(U$1:U123)+1,"")</f>
        <v/>
      </c>
    </row>
    <row r="125" spans="1:21" x14ac:dyDescent="0.35">
      <c r="A125" s="3" t="s">
        <v>271</v>
      </c>
      <c r="B125" s="4">
        <v>45573</v>
      </c>
      <c r="C125" s="3" t="s">
        <v>218</v>
      </c>
      <c r="D125" s="3" t="s">
        <v>219</v>
      </c>
      <c r="E125" s="3" t="s">
        <v>87</v>
      </c>
      <c r="F125" s="3" t="s">
        <v>88</v>
      </c>
      <c r="G125" s="3" t="s">
        <v>26</v>
      </c>
      <c r="H125" s="3">
        <v>2</v>
      </c>
      <c r="I125" s="5">
        <v>699.99</v>
      </c>
      <c r="J125" s="3" t="s">
        <v>64</v>
      </c>
      <c r="K125" s="3" t="s">
        <v>70</v>
      </c>
      <c r="L125" s="3" t="s">
        <v>34</v>
      </c>
      <c r="M125" s="4">
        <v>45274</v>
      </c>
      <c r="N125" s="5">
        <v>1399.98</v>
      </c>
      <c r="O125" s="6">
        <f t="shared" si="5"/>
        <v>45566</v>
      </c>
      <c r="P125" s="4">
        <f t="shared" si="6"/>
        <v>45596</v>
      </c>
      <c r="Q125" s="3">
        <f t="shared" si="7"/>
        <v>0</v>
      </c>
      <c r="R125" s="7">
        <f t="shared" ca="1" si="8"/>
        <v>751</v>
      </c>
      <c r="S125" s="3">
        <f t="shared" si="9"/>
        <v>4</v>
      </c>
      <c r="T125" s="3" t="str">
        <f>IF(COUNTIF($D$2:D125,D125)=1,"First","Repeat")</f>
        <v>Repeat</v>
      </c>
      <c r="U125" s="3" t="str">
        <f>IF(AND($K125=DateTime_Filter!$C$21,$N125&gt;=DateTime_Filter!$C$22),MAX(U$1:U124)+1,"")</f>
        <v/>
      </c>
    </row>
    <row r="126" spans="1:21" x14ac:dyDescent="0.35">
      <c r="A126" s="3" t="s">
        <v>272</v>
      </c>
      <c r="B126" s="4">
        <v>45573</v>
      </c>
      <c r="C126" s="3" t="s">
        <v>238</v>
      </c>
      <c r="D126" s="3" t="s">
        <v>239</v>
      </c>
      <c r="E126" s="3" t="s">
        <v>51</v>
      </c>
      <c r="F126" s="3" t="s">
        <v>52</v>
      </c>
      <c r="G126" s="3" t="s">
        <v>53</v>
      </c>
      <c r="H126" s="3">
        <v>3</v>
      </c>
      <c r="I126" s="5">
        <v>149.99</v>
      </c>
      <c r="J126" s="3" t="s">
        <v>33</v>
      </c>
      <c r="K126" s="3" t="s">
        <v>42</v>
      </c>
      <c r="L126" s="3" t="s">
        <v>43</v>
      </c>
      <c r="M126" s="4">
        <v>44940</v>
      </c>
      <c r="N126" s="5">
        <v>449.97</v>
      </c>
      <c r="O126" s="6">
        <f t="shared" si="5"/>
        <v>45566</v>
      </c>
      <c r="P126" s="4">
        <f t="shared" si="6"/>
        <v>45596</v>
      </c>
      <c r="Q126" s="3">
        <f t="shared" si="7"/>
        <v>1</v>
      </c>
      <c r="R126" s="7">
        <f t="shared" ca="1" si="8"/>
        <v>751</v>
      </c>
      <c r="S126" s="3">
        <f t="shared" si="9"/>
        <v>3</v>
      </c>
      <c r="T126" s="3" t="str">
        <f>IF(COUNTIF($D$2:D126,D126)=1,"First","Repeat")</f>
        <v>Repeat</v>
      </c>
      <c r="U126" s="3" t="str">
        <f>IF(AND($K126=DateTime_Filter!$C$21,$N126&gt;=DateTime_Filter!$C$22),MAX(U$1:U125)+1,"")</f>
        <v/>
      </c>
    </row>
    <row r="127" spans="1:21" x14ac:dyDescent="0.35">
      <c r="A127" s="3" t="s">
        <v>273</v>
      </c>
      <c r="B127" s="4">
        <v>45576</v>
      </c>
      <c r="C127" s="3" t="s">
        <v>154</v>
      </c>
      <c r="D127" s="3" t="s">
        <v>155</v>
      </c>
      <c r="E127" s="3" t="s">
        <v>112</v>
      </c>
      <c r="F127" s="3" t="s">
        <v>113</v>
      </c>
      <c r="G127" s="3" t="s">
        <v>53</v>
      </c>
      <c r="H127" s="3">
        <v>3</v>
      </c>
      <c r="I127" s="5">
        <v>299.99</v>
      </c>
      <c r="J127" s="3" t="s">
        <v>33</v>
      </c>
      <c r="K127" s="3" t="s">
        <v>28</v>
      </c>
      <c r="L127" s="3" t="s">
        <v>43</v>
      </c>
      <c r="M127" s="4">
        <v>45174</v>
      </c>
      <c r="N127" s="5">
        <v>899.97</v>
      </c>
      <c r="O127" s="6">
        <f t="shared" si="5"/>
        <v>45566</v>
      </c>
      <c r="P127" s="4">
        <f t="shared" si="6"/>
        <v>45596</v>
      </c>
      <c r="Q127" s="3">
        <f t="shared" si="7"/>
        <v>1</v>
      </c>
      <c r="R127" s="7">
        <f t="shared" ca="1" si="8"/>
        <v>748</v>
      </c>
      <c r="S127" s="3">
        <f t="shared" si="9"/>
        <v>7</v>
      </c>
      <c r="T127" s="3" t="str">
        <f>IF(COUNTIF($D$2:D127,D127)=1,"First","Repeat")</f>
        <v>Repeat</v>
      </c>
      <c r="U127" s="3" t="str">
        <f>IF(AND($K127=DateTime_Filter!$C$21,$N127&gt;=DateTime_Filter!$C$22),MAX(U$1:U126)+1,"")</f>
        <v/>
      </c>
    </row>
    <row r="128" spans="1:21" x14ac:dyDescent="0.35">
      <c r="A128" s="3" t="s">
        <v>274</v>
      </c>
      <c r="B128" s="4">
        <v>45579</v>
      </c>
      <c r="C128" s="3" t="s">
        <v>90</v>
      </c>
      <c r="D128" s="3" t="s">
        <v>91</v>
      </c>
      <c r="E128" s="3" t="s">
        <v>68</v>
      </c>
      <c r="F128" s="3" t="s">
        <v>69</v>
      </c>
      <c r="G128" s="3" t="s">
        <v>26</v>
      </c>
      <c r="H128" s="3">
        <v>3</v>
      </c>
      <c r="I128" s="5">
        <v>899.99</v>
      </c>
      <c r="J128" s="3" t="s">
        <v>41</v>
      </c>
      <c r="K128" s="3" t="s">
        <v>57</v>
      </c>
      <c r="L128" s="3" t="s">
        <v>29</v>
      </c>
      <c r="M128" s="4">
        <v>45215</v>
      </c>
      <c r="N128" s="5">
        <v>2699.97</v>
      </c>
      <c r="O128" s="6">
        <f t="shared" si="5"/>
        <v>45566</v>
      </c>
      <c r="P128" s="4">
        <f t="shared" si="6"/>
        <v>45596</v>
      </c>
      <c r="Q128" s="3">
        <f t="shared" si="7"/>
        <v>0</v>
      </c>
      <c r="R128" s="7">
        <f t="shared" ca="1" si="8"/>
        <v>745</v>
      </c>
      <c r="S128" s="3">
        <f t="shared" si="9"/>
        <v>3</v>
      </c>
      <c r="T128" s="3" t="str">
        <f>IF(COUNTIF($D$2:D128,D128)=1,"First","Repeat")</f>
        <v>Repeat</v>
      </c>
      <c r="U128" s="3" t="str">
        <f>IF(AND($K128=DateTime_Filter!$C$21,$N128&gt;=DateTime_Filter!$C$22),MAX(U$1:U127)+1,"")</f>
        <v/>
      </c>
    </row>
    <row r="129" spans="1:21" x14ac:dyDescent="0.35">
      <c r="A129" s="3" t="s">
        <v>275</v>
      </c>
      <c r="B129" s="4">
        <v>45581</v>
      </c>
      <c r="C129" s="3" t="s">
        <v>178</v>
      </c>
      <c r="D129" s="3" t="s">
        <v>179</v>
      </c>
      <c r="E129" s="3" t="s">
        <v>87</v>
      </c>
      <c r="F129" s="3" t="s">
        <v>88</v>
      </c>
      <c r="G129" s="3" t="s">
        <v>26</v>
      </c>
      <c r="H129" s="3">
        <v>4</v>
      </c>
      <c r="I129" s="5">
        <v>699.99</v>
      </c>
      <c r="J129" s="3" t="s">
        <v>33</v>
      </c>
      <c r="K129" s="3" t="s">
        <v>28</v>
      </c>
      <c r="L129" s="3" t="s">
        <v>29</v>
      </c>
      <c r="M129" s="4">
        <v>45385</v>
      </c>
      <c r="N129" s="5">
        <v>2799.96</v>
      </c>
      <c r="O129" s="6">
        <f t="shared" si="5"/>
        <v>45566</v>
      </c>
      <c r="P129" s="4">
        <f t="shared" si="6"/>
        <v>45596</v>
      </c>
      <c r="Q129" s="3">
        <f t="shared" si="7"/>
        <v>0</v>
      </c>
      <c r="R129" s="7">
        <f t="shared" ca="1" si="8"/>
        <v>743</v>
      </c>
      <c r="S129" s="3">
        <f t="shared" si="9"/>
        <v>4</v>
      </c>
      <c r="T129" s="3" t="str">
        <f>IF(COUNTIF($D$2:D129,D129)=1,"First","Repeat")</f>
        <v>Repeat</v>
      </c>
      <c r="U129" s="3" t="str">
        <f>IF(AND($K129=DateTime_Filter!$C$21,$N129&gt;=DateTime_Filter!$C$22),MAX(U$1:U128)+1,"")</f>
        <v/>
      </c>
    </row>
    <row r="130" spans="1:21" x14ac:dyDescent="0.35">
      <c r="A130" s="3" t="s">
        <v>276</v>
      </c>
      <c r="B130" s="4">
        <v>45581</v>
      </c>
      <c r="C130" s="3" t="s">
        <v>103</v>
      </c>
      <c r="D130" s="3" t="s">
        <v>104</v>
      </c>
      <c r="E130" s="3" t="s">
        <v>87</v>
      </c>
      <c r="F130" s="3" t="s">
        <v>88</v>
      </c>
      <c r="G130" s="3" t="s">
        <v>26</v>
      </c>
      <c r="H130" s="3">
        <v>5</v>
      </c>
      <c r="I130" s="5">
        <v>699.99</v>
      </c>
      <c r="J130" s="3" t="s">
        <v>27</v>
      </c>
      <c r="K130" s="3" t="s">
        <v>70</v>
      </c>
      <c r="L130" s="3" t="s">
        <v>43</v>
      </c>
      <c r="M130" s="4">
        <v>45008</v>
      </c>
      <c r="N130" s="5">
        <v>3499.95</v>
      </c>
      <c r="O130" s="6">
        <f t="shared" ref="O130:O193" si="10">EOMONTH(B130,-1)+1</f>
        <v>45566</v>
      </c>
      <c r="P130" s="4">
        <f t="shared" ref="P130:P193" si="11">EOMONTH(B130,0)</f>
        <v>45596</v>
      </c>
      <c r="Q130" s="3">
        <f t="shared" ref="Q130:Q193" si="12">IFERROR(DATEDIF(M130,B130,"Y"),0)</f>
        <v>1</v>
      </c>
      <c r="R130" s="7">
        <f t="shared" ref="R130:R193" ca="1" si="13">TODAY()-B130</f>
        <v>743</v>
      </c>
      <c r="S130" s="3">
        <f t="shared" ref="S130:S193" si="14">COUNTIF($D$2:$D$251,D130)</f>
        <v>5</v>
      </c>
      <c r="T130" s="3" t="str">
        <f>IF(COUNTIF($D$2:D130,D130)=1,"First","Repeat")</f>
        <v>Repeat</v>
      </c>
      <c r="U130" s="3" t="str">
        <f>IF(AND($K130=DateTime_Filter!$C$21,$N130&gt;=DateTime_Filter!$C$22),MAX(U$1:U129)+1,"")</f>
        <v/>
      </c>
    </row>
    <row r="131" spans="1:21" x14ac:dyDescent="0.35">
      <c r="A131" s="3" t="s">
        <v>277</v>
      </c>
      <c r="B131" s="4">
        <v>45581</v>
      </c>
      <c r="C131" s="3" t="s">
        <v>158</v>
      </c>
      <c r="D131" s="3" t="s">
        <v>159</v>
      </c>
      <c r="E131" s="3" t="s">
        <v>68</v>
      </c>
      <c r="F131" s="3" t="s">
        <v>69</v>
      </c>
      <c r="G131" s="3" t="s">
        <v>26</v>
      </c>
      <c r="H131" s="3">
        <v>1</v>
      </c>
      <c r="I131" s="5">
        <v>899.99</v>
      </c>
      <c r="J131" s="3" t="s">
        <v>33</v>
      </c>
      <c r="K131" s="3" t="s">
        <v>70</v>
      </c>
      <c r="L131" s="3" t="s">
        <v>43</v>
      </c>
      <c r="M131" s="4">
        <v>45369</v>
      </c>
      <c r="N131" s="5">
        <v>899.99</v>
      </c>
      <c r="O131" s="6">
        <f t="shared" si="10"/>
        <v>45566</v>
      </c>
      <c r="P131" s="4">
        <f t="shared" si="11"/>
        <v>45596</v>
      </c>
      <c r="Q131" s="3">
        <f t="shared" si="12"/>
        <v>0</v>
      </c>
      <c r="R131" s="7">
        <f t="shared" ca="1" si="13"/>
        <v>743</v>
      </c>
      <c r="S131" s="3">
        <f t="shared" si="14"/>
        <v>6</v>
      </c>
      <c r="T131" s="3" t="str">
        <f>IF(COUNTIF($D$2:D131,D131)=1,"First","Repeat")</f>
        <v>Repeat</v>
      </c>
      <c r="U131" s="3" t="str">
        <f>IF(AND($K131=DateTime_Filter!$C$21,$N131&gt;=DateTime_Filter!$C$22),MAX(U$1:U130)+1,"")</f>
        <v/>
      </c>
    </row>
    <row r="132" spans="1:21" x14ac:dyDescent="0.35">
      <c r="A132" s="3" t="s">
        <v>278</v>
      </c>
      <c r="B132" s="4">
        <v>45583</v>
      </c>
      <c r="C132" s="3" t="s">
        <v>233</v>
      </c>
      <c r="D132" s="3" t="s">
        <v>234</v>
      </c>
      <c r="E132" s="3" t="s">
        <v>59</v>
      </c>
      <c r="F132" s="3" t="s">
        <v>60</v>
      </c>
      <c r="G132" s="3" t="s">
        <v>26</v>
      </c>
      <c r="H132" s="3">
        <v>2</v>
      </c>
      <c r="I132" s="5">
        <v>149.99</v>
      </c>
      <c r="J132" s="3" t="s">
        <v>33</v>
      </c>
      <c r="K132" s="3" t="s">
        <v>57</v>
      </c>
      <c r="L132" s="3" t="s">
        <v>29</v>
      </c>
      <c r="M132" s="4">
        <v>44916</v>
      </c>
      <c r="N132" s="5">
        <v>299.98</v>
      </c>
      <c r="O132" s="6">
        <f t="shared" si="10"/>
        <v>45566</v>
      </c>
      <c r="P132" s="4">
        <f t="shared" si="11"/>
        <v>45596</v>
      </c>
      <c r="Q132" s="3">
        <f t="shared" si="12"/>
        <v>1</v>
      </c>
      <c r="R132" s="7">
        <f t="shared" ca="1" si="13"/>
        <v>741</v>
      </c>
      <c r="S132" s="3">
        <f t="shared" si="14"/>
        <v>8</v>
      </c>
      <c r="T132" s="3" t="str">
        <f>IF(COUNTIF($D$2:D132,D132)=1,"First","Repeat")</f>
        <v>Repeat</v>
      </c>
      <c r="U132" s="3" t="str">
        <f>IF(AND($K132=DateTime_Filter!$C$21,$N132&gt;=DateTime_Filter!$C$22),MAX(U$1:U131)+1,"")</f>
        <v/>
      </c>
    </row>
    <row r="133" spans="1:21" x14ac:dyDescent="0.35">
      <c r="A133" s="3" t="s">
        <v>279</v>
      </c>
      <c r="B133" s="4">
        <v>45586</v>
      </c>
      <c r="C133" s="3" t="s">
        <v>233</v>
      </c>
      <c r="D133" s="3" t="s">
        <v>234</v>
      </c>
      <c r="E133" s="3" t="s">
        <v>118</v>
      </c>
      <c r="F133" s="3" t="s">
        <v>119</v>
      </c>
      <c r="G133" s="3" t="s">
        <v>26</v>
      </c>
      <c r="H133" s="3">
        <v>3</v>
      </c>
      <c r="I133" s="5">
        <v>89.99</v>
      </c>
      <c r="J133" s="3" t="s">
        <v>41</v>
      </c>
      <c r="K133" s="3" t="s">
        <v>28</v>
      </c>
      <c r="L133" s="3" t="s">
        <v>29</v>
      </c>
      <c r="M133" s="4">
        <v>44551</v>
      </c>
      <c r="N133" s="5">
        <v>269.97000000000003</v>
      </c>
      <c r="O133" s="6">
        <f t="shared" si="10"/>
        <v>45566</v>
      </c>
      <c r="P133" s="4">
        <f t="shared" si="11"/>
        <v>45596</v>
      </c>
      <c r="Q133" s="3">
        <f t="shared" si="12"/>
        <v>2</v>
      </c>
      <c r="R133" s="7">
        <f t="shared" ca="1" si="13"/>
        <v>738</v>
      </c>
      <c r="S133" s="3">
        <f t="shared" si="14"/>
        <v>8</v>
      </c>
      <c r="T133" s="3" t="str">
        <f>IF(COUNTIF($D$2:D133,D133)=1,"First","Repeat")</f>
        <v>Repeat</v>
      </c>
      <c r="U133" s="3" t="str">
        <f>IF(AND($K133=DateTime_Filter!$C$21,$N133&gt;=DateTime_Filter!$C$22),MAX(U$1:U132)+1,"")</f>
        <v/>
      </c>
    </row>
    <row r="134" spans="1:21" x14ac:dyDescent="0.35">
      <c r="A134" s="3" t="s">
        <v>280</v>
      </c>
      <c r="B134" s="4">
        <v>45588</v>
      </c>
      <c r="C134" s="3" t="s">
        <v>161</v>
      </c>
      <c r="D134" s="3" t="s">
        <v>162</v>
      </c>
      <c r="E134" s="3" t="s">
        <v>87</v>
      </c>
      <c r="F134" s="3" t="s">
        <v>88</v>
      </c>
      <c r="G134" s="3" t="s">
        <v>26</v>
      </c>
      <c r="H134" s="3">
        <v>2</v>
      </c>
      <c r="I134" s="5">
        <v>699.99</v>
      </c>
      <c r="J134" s="3" t="s">
        <v>27</v>
      </c>
      <c r="K134" s="3" t="s">
        <v>28</v>
      </c>
      <c r="L134" s="3" t="s">
        <v>29</v>
      </c>
      <c r="M134" s="4">
        <v>44992</v>
      </c>
      <c r="N134" s="5">
        <v>1399.98</v>
      </c>
      <c r="O134" s="6">
        <f t="shared" si="10"/>
        <v>45566</v>
      </c>
      <c r="P134" s="4">
        <f t="shared" si="11"/>
        <v>45596</v>
      </c>
      <c r="Q134" s="3">
        <f t="shared" si="12"/>
        <v>1</v>
      </c>
      <c r="R134" s="7">
        <f t="shared" ca="1" si="13"/>
        <v>736</v>
      </c>
      <c r="S134" s="3">
        <f t="shared" si="14"/>
        <v>5</v>
      </c>
      <c r="T134" s="3" t="str">
        <f>IF(COUNTIF($D$2:D134,D134)=1,"First","Repeat")</f>
        <v>Repeat</v>
      </c>
      <c r="U134" s="3" t="str">
        <f>IF(AND($K134=DateTime_Filter!$C$21,$N134&gt;=DateTime_Filter!$C$22),MAX(U$1:U133)+1,"")</f>
        <v/>
      </c>
    </row>
    <row r="135" spans="1:21" x14ac:dyDescent="0.35">
      <c r="A135" s="3" t="s">
        <v>281</v>
      </c>
      <c r="B135" s="4">
        <v>45588</v>
      </c>
      <c r="C135" s="3" t="s">
        <v>45</v>
      </c>
      <c r="D135" s="3" t="s">
        <v>46</v>
      </c>
      <c r="E135" s="3" t="s">
        <v>59</v>
      </c>
      <c r="F135" s="3" t="s">
        <v>60</v>
      </c>
      <c r="G135" s="3" t="s">
        <v>26</v>
      </c>
      <c r="H135" s="3">
        <v>2</v>
      </c>
      <c r="I135" s="5">
        <v>149.99</v>
      </c>
      <c r="J135" s="3" t="s">
        <v>41</v>
      </c>
      <c r="K135" s="3" t="s">
        <v>28</v>
      </c>
      <c r="L135" s="3" t="s">
        <v>29</v>
      </c>
      <c r="M135" s="4">
        <v>44473</v>
      </c>
      <c r="N135" s="5">
        <v>299.98</v>
      </c>
      <c r="O135" s="6">
        <f t="shared" si="10"/>
        <v>45566</v>
      </c>
      <c r="P135" s="4">
        <f t="shared" si="11"/>
        <v>45596</v>
      </c>
      <c r="Q135" s="3">
        <f t="shared" si="12"/>
        <v>3</v>
      </c>
      <c r="R135" s="7">
        <f t="shared" ca="1" si="13"/>
        <v>736</v>
      </c>
      <c r="S135" s="3">
        <f t="shared" si="14"/>
        <v>6</v>
      </c>
      <c r="T135" s="3" t="str">
        <f>IF(COUNTIF($D$2:D135,D135)=1,"First","Repeat")</f>
        <v>Repeat</v>
      </c>
      <c r="U135" s="3" t="str">
        <f>IF(AND($K135=DateTime_Filter!$C$21,$N135&gt;=DateTime_Filter!$C$22),MAX(U$1:U134)+1,"")</f>
        <v/>
      </c>
    </row>
    <row r="136" spans="1:21" x14ac:dyDescent="0.35">
      <c r="A136" s="3" t="s">
        <v>282</v>
      </c>
      <c r="B136" s="4">
        <v>45589</v>
      </c>
      <c r="C136" s="3" t="s">
        <v>164</v>
      </c>
      <c r="D136" s="3" t="s">
        <v>165</v>
      </c>
      <c r="E136" s="3" t="s">
        <v>87</v>
      </c>
      <c r="F136" s="3" t="s">
        <v>88</v>
      </c>
      <c r="G136" s="3" t="s">
        <v>26</v>
      </c>
      <c r="H136" s="3">
        <v>5</v>
      </c>
      <c r="I136" s="5">
        <v>699.99</v>
      </c>
      <c r="J136" s="3" t="s">
        <v>27</v>
      </c>
      <c r="K136" s="3" t="s">
        <v>47</v>
      </c>
      <c r="L136" s="3" t="s">
        <v>34</v>
      </c>
      <c r="M136" s="4">
        <v>44635</v>
      </c>
      <c r="N136" s="5">
        <v>3499.95</v>
      </c>
      <c r="O136" s="6">
        <f t="shared" si="10"/>
        <v>45566</v>
      </c>
      <c r="P136" s="4">
        <f t="shared" si="11"/>
        <v>45596</v>
      </c>
      <c r="Q136" s="3">
        <f t="shared" si="12"/>
        <v>2</v>
      </c>
      <c r="R136" s="7">
        <f t="shared" ca="1" si="13"/>
        <v>735</v>
      </c>
      <c r="S136" s="3">
        <f t="shared" si="14"/>
        <v>5</v>
      </c>
      <c r="T136" s="3" t="str">
        <f>IF(COUNTIF($D$2:D136,D136)=1,"First","Repeat")</f>
        <v>Repeat</v>
      </c>
      <c r="U136" s="3">
        <f>IF(AND($K136=DateTime_Filter!$C$21,$N136&gt;=DateTime_Filter!$C$22),MAX(U$1:U135)+1,"")</f>
        <v>6</v>
      </c>
    </row>
    <row r="137" spans="1:21" x14ac:dyDescent="0.35">
      <c r="A137" s="3" t="s">
        <v>283</v>
      </c>
      <c r="B137" s="4">
        <v>45592</v>
      </c>
      <c r="C137" s="3" t="s">
        <v>178</v>
      </c>
      <c r="D137" s="3" t="s">
        <v>179</v>
      </c>
      <c r="E137" s="3" t="s">
        <v>118</v>
      </c>
      <c r="F137" s="3" t="s">
        <v>119</v>
      </c>
      <c r="G137" s="3" t="s">
        <v>26</v>
      </c>
      <c r="H137" s="3">
        <v>3</v>
      </c>
      <c r="I137" s="5">
        <v>89.99</v>
      </c>
      <c r="J137" s="3" t="s">
        <v>33</v>
      </c>
      <c r="K137" s="3" t="s">
        <v>47</v>
      </c>
      <c r="L137" s="3" t="s">
        <v>43</v>
      </c>
      <c r="M137" s="4">
        <v>44615</v>
      </c>
      <c r="N137" s="5">
        <v>269.97000000000003</v>
      </c>
      <c r="O137" s="6">
        <f t="shared" si="10"/>
        <v>45566</v>
      </c>
      <c r="P137" s="4">
        <f t="shared" si="11"/>
        <v>45596</v>
      </c>
      <c r="Q137" s="3">
        <f t="shared" si="12"/>
        <v>2</v>
      </c>
      <c r="R137" s="7">
        <f t="shared" ca="1" si="13"/>
        <v>732</v>
      </c>
      <c r="S137" s="3">
        <f t="shared" si="14"/>
        <v>4</v>
      </c>
      <c r="T137" s="3" t="str">
        <f>IF(COUNTIF($D$2:D137,D137)=1,"First","Repeat")</f>
        <v>Repeat</v>
      </c>
      <c r="U137" s="3" t="str">
        <f>IF(AND($K137=DateTime_Filter!$C$21,$N137&gt;=DateTime_Filter!$C$22),MAX(U$1:U136)+1,"")</f>
        <v/>
      </c>
    </row>
    <row r="138" spans="1:21" x14ac:dyDescent="0.35">
      <c r="A138" s="3" t="s">
        <v>284</v>
      </c>
      <c r="B138" s="4">
        <v>45597</v>
      </c>
      <c r="C138" s="3" t="s">
        <v>22</v>
      </c>
      <c r="D138" s="3" t="s">
        <v>23</v>
      </c>
      <c r="E138" s="3" t="s">
        <v>24</v>
      </c>
      <c r="F138" s="3" t="s">
        <v>25</v>
      </c>
      <c r="G138" s="3" t="s">
        <v>26</v>
      </c>
      <c r="H138" s="3">
        <v>5</v>
      </c>
      <c r="I138" s="5">
        <v>249.99</v>
      </c>
      <c r="J138" s="3" t="s">
        <v>33</v>
      </c>
      <c r="K138" s="3" t="s">
        <v>42</v>
      </c>
      <c r="L138" s="3" t="s">
        <v>43</v>
      </c>
      <c r="M138" s="4">
        <v>44881</v>
      </c>
      <c r="N138" s="5">
        <v>1249.95</v>
      </c>
      <c r="O138" s="6">
        <f t="shared" si="10"/>
        <v>45597</v>
      </c>
      <c r="P138" s="4">
        <f t="shared" si="11"/>
        <v>45626</v>
      </c>
      <c r="Q138" s="3">
        <f t="shared" si="12"/>
        <v>1</v>
      </c>
      <c r="R138" s="7">
        <f t="shared" ca="1" si="13"/>
        <v>727</v>
      </c>
      <c r="S138" s="3">
        <f t="shared" si="14"/>
        <v>8</v>
      </c>
      <c r="T138" s="3" t="str">
        <f>IF(COUNTIF($D$2:D138,D138)=1,"First","Repeat")</f>
        <v>Repeat</v>
      </c>
      <c r="U138" s="3" t="str">
        <f>IF(AND($K138=DateTime_Filter!$C$21,$N138&gt;=DateTime_Filter!$C$22),MAX(U$1:U137)+1,"")</f>
        <v/>
      </c>
    </row>
    <row r="139" spans="1:21" x14ac:dyDescent="0.35">
      <c r="A139" s="3" t="s">
        <v>285</v>
      </c>
      <c r="B139" s="4">
        <v>45600</v>
      </c>
      <c r="C139" s="3" t="s">
        <v>75</v>
      </c>
      <c r="D139" s="3" t="s">
        <v>76</v>
      </c>
      <c r="E139" s="3" t="s">
        <v>112</v>
      </c>
      <c r="F139" s="3" t="s">
        <v>113</v>
      </c>
      <c r="G139" s="3" t="s">
        <v>53</v>
      </c>
      <c r="H139" s="3">
        <v>3</v>
      </c>
      <c r="I139" s="5">
        <v>299.99</v>
      </c>
      <c r="J139" s="3" t="s">
        <v>33</v>
      </c>
      <c r="K139" s="3" t="s">
        <v>42</v>
      </c>
      <c r="L139" s="3" t="s">
        <v>43</v>
      </c>
      <c r="M139" s="4">
        <v>44502</v>
      </c>
      <c r="N139" s="5">
        <v>899.97</v>
      </c>
      <c r="O139" s="6">
        <f t="shared" si="10"/>
        <v>45597</v>
      </c>
      <c r="P139" s="4">
        <f t="shared" si="11"/>
        <v>45626</v>
      </c>
      <c r="Q139" s="3">
        <f t="shared" si="12"/>
        <v>3</v>
      </c>
      <c r="R139" s="7">
        <f t="shared" ca="1" si="13"/>
        <v>724</v>
      </c>
      <c r="S139" s="3">
        <f t="shared" si="14"/>
        <v>8</v>
      </c>
      <c r="T139" s="3" t="str">
        <f>IF(COUNTIF($D$2:D139,D139)=1,"First","Repeat")</f>
        <v>Repeat</v>
      </c>
      <c r="U139" s="3" t="str">
        <f>IF(AND($K139=DateTime_Filter!$C$21,$N139&gt;=DateTime_Filter!$C$22),MAX(U$1:U138)+1,"")</f>
        <v/>
      </c>
    </row>
    <row r="140" spans="1:21" x14ac:dyDescent="0.35">
      <c r="A140" s="3" t="s">
        <v>286</v>
      </c>
      <c r="B140" s="4">
        <v>45603</v>
      </c>
      <c r="C140" s="3" t="s">
        <v>106</v>
      </c>
      <c r="D140" s="3" t="s">
        <v>107</v>
      </c>
      <c r="E140" s="3" t="s">
        <v>118</v>
      </c>
      <c r="F140" s="3" t="s">
        <v>119</v>
      </c>
      <c r="G140" s="3" t="s">
        <v>26</v>
      </c>
      <c r="H140" s="3">
        <v>3</v>
      </c>
      <c r="I140" s="5">
        <v>89.99</v>
      </c>
      <c r="J140" s="3" t="s">
        <v>33</v>
      </c>
      <c r="K140" s="3" t="s">
        <v>47</v>
      </c>
      <c r="L140" s="3" t="s">
        <v>34</v>
      </c>
      <c r="M140" s="4">
        <v>44420</v>
      </c>
      <c r="N140" s="5">
        <v>269.97000000000003</v>
      </c>
      <c r="O140" s="6">
        <f t="shared" si="10"/>
        <v>45597</v>
      </c>
      <c r="P140" s="4">
        <f t="shared" si="11"/>
        <v>45626</v>
      </c>
      <c r="Q140" s="3">
        <f t="shared" si="12"/>
        <v>3</v>
      </c>
      <c r="R140" s="7">
        <f t="shared" ca="1" si="13"/>
        <v>721</v>
      </c>
      <c r="S140" s="3">
        <f t="shared" si="14"/>
        <v>8</v>
      </c>
      <c r="T140" s="3" t="str">
        <f>IF(COUNTIF($D$2:D140,D140)=1,"First","Repeat")</f>
        <v>Repeat</v>
      </c>
      <c r="U140" s="3" t="str">
        <f>IF(AND($K140=DateTime_Filter!$C$21,$N140&gt;=DateTime_Filter!$C$22),MAX(U$1:U139)+1,"")</f>
        <v/>
      </c>
    </row>
    <row r="141" spans="1:21" x14ac:dyDescent="0.35">
      <c r="A141" s="3" t="s">
        <v>287</v>
      </c>
      <c r="B141" s="4">
        <v>45604</v>
      </c>
      <c r="C141" s="3" t="s">
        <v>97</v>
      </c>
      <c r="D141" s="3" t="s">
        <v>98</v>
      </c>
      <c r="E141" s="3" t="s">
        <v>51</v>
      </c>
      <c r="F141" s="3" t="s">
        <v>52</v>
      </c>
      <c r="G141" s="3" t="s">
        <v>53</v>
      </c>
      <c r="H141" s="3">
        <v>2</v>
      </c>
      <c r="I141" s="5">
        <v>149.99</v>
      </c>
      <c r="J141" s="3" t="s">
        <v>33</v>
      </c>
      <c r="K141" s="3" t="s">
        <v>57</v>
      </c>
      <c r="L141" s="3" t="s">
        <v>34</v>
      </c>
      <c r="M141" s="4">
        <v>44848</v>
      </c>
      <c r="N141" s="5">
        <v>299.98</v>
      </c>
      <c r="O141" s="6">
        <f t="shared" si="10"/>
        <v>45597</v>
      </c>
      <c r="P141" s="4">
        <f t="shared" si="11"/>
        <v>45626</v>
      </c>
      <c r="Q141" s="3">
        <f t="shared" si="12"/>
        <v>2</v>
      </c>
      <c r="R141" s="7">
        <f t="shared" ca="1" si="13"/>
        <v>720</v>
      </c>
      <c r="S141" s="3">
        <f t="shared" si="14"/>
        <v>4</v>
      </c>
      <c r="T141" s="3" t="str">
        <f>IF(COUNTIF($D$2:D141,D141)=1,"First","Repeat")</f>
        <v>Repeat</v>
      </c>
      <c r="U141" s="3" t="str">
        <f>IF(AND($K141=DateTime_Filter!$C$21,$N141&gt;=DateTime_Filter!$C$22),MAX(U$1:U140)+1,"")</f>
        <v/>
      </c>
    </row>
    <row r="142" spans="1:21" x14ac:dyDescent="0.35">
      <c r="A142" s="3" t="s">
        <v>288</v>
      </c>
      <c r="B142" s="4">
        <v>45605</v>
      </c>
      <c r="C142" s="3" t="s">
        <v>192</v>
      </c>
      <c r="D142" s="3" t="s">
        <v>193</v>
      </c>
      <c r="E142" s="3" t="s">
        <v>24</v>
      </c>
      <c r="F142" s="3" t="s">
        <v>25</v>
      </c>
      <c r="G142" s="3" t="s">
        <v>26</v>
      </c>
      <c r="H142" s="3">
        <v>1</v>
      </c>
      <c r="I142" s="5">
        <v>249.99</v>
      </c>
      <c r="J142" s="3" t="s">
        <v>33</v>
      </c>
      <c r="K142" s="3" t="s">
        <v>47</v>
      </c>
      <c r="L142" s="3" t="s">
        <v>34</v>
      </c>
      <c r="M142" s="4">
        <v>44828</v>
      </c>
      <c r="N142" s="5">
        <v>249.99</v>
      </c>
      <c r="O142" s="6">
        <f t="shared" si="10"/>
        <v>45597</v>
      </c>
      <c r="P142" s="4">
        <f t="shared" si="11"/>
        <v>45626</v>
      </c>
      <c r="Q142" s="3">
        <f t="shared" si="12"/>
        <v>2</v>
      </c>
      <c r="R142" s="7">
        <f t="shared" ca="1" si="13"/>
        <v>719</v>
      </c>
      <c r="S142" s="3">
        <f t="shared" si="14"/>
        <v>4</v>
      </c>
      <c r="T142" s="3" t="str">
        <f>IF(COUNTIF($D$2:D142,D142)=1,"First","Repeat")</f>
        <v>Repeat</v>
      </c>
      <c r="U142" s="3" t="str">
        <f>IF(AND($K142=DateTime_Filter!$C$21,$N142&gt;=DateTime_Filter!$C$22),MAX(U$1:U141)+1,"")</f>
        <v/>
      </c>
    </row>
    <row r="143" spans="1:21" x14ac:dyDescent="0.35">
      <c r="A143" s="3" t="s">
        <v>289</v>
      </c>
      <c r="B143" s="4">
        <v>45607</v>
      </c>
      <c r="C143" s="3" t="s">
        <v>79</v>
      </c>
      <c r="D143" s="3" t="s">
        <v>80</v>
      </c>
      <c r="E143" s="3" t="s">
        <v>59</v>
      </c>
      <c r="F143" s="3" t="s">
        <v>60</v>
      </c>
      <c r="G143" s="3" t="s">
        <v>26</v>
      </c>
      <c r="H143" s="3">
        <v>3</v>
      </c>
      <c r="I143" s="5">
        <v>149.99</v>
      </c>
      <c r="J143" s="3" t="s">
        <v>27</v>
      </c>
      <c r="K143" s="3" t="s">
        <v>47</v>
      </c>
      <c r="L143" s="3" t="s">
        <v>29</v>
      </c>
      <c r="M143" s="4">
        <v>44769</v>
      </c>
      <c r="N143" s="5">
        <v>449.97</v>
      </c>
      <c r="O143" s="6">
        <f t="shared" si="10"/>
        <v>45597</v>
      </c>
      <c r="P143" s="4">
        <f t="shared" si="11"/>
        <v>45626</v>
      </c>
      <c r="Q143" s="3">
        <f t="shared" si="12"/>
        <v>2</v>
      </c>
      <c r="R143" s="7">
        <f t="shared" ca="1" si="13"/>
        <v>717</v>
      </c>
      <c r="S143" s="3">
        <f t="shared" si="14"/>
        <v>5</v>
      </c>
      <c r="T143" s="3" t="str">
        <f>IF(COUNTIF($D$2:D143,D143)=1,"First","Repeat")</f>
        <v>Repeat</v>
      </c>
      <c r="U143" s="3" t="str">
        <f>IF(AND($K143=DateTime_Filter!$C$21,$N143&gt;=DateTime_Filter!$C$22),MAX(U$1:U142)+1,"")</f>
        <v/>
      </c>
    </row>
    <row r="144" spans="1:21" x14ac:dyDescent="0.35">
      <c r="A144" s="3" t="s">
        <v>290</v>
      </c>
      <c r="B144" s="4">
        <v>45607</v>
      </c>
      <c r="C144" s="3" t="s">
        <v>106</v>
      </c>
      <c r="D144" s="3" t="s">
        <v>107</v>
      </c>
      <c r="E144" s="3" t="s">
        <v>24</v>
      </c>
      <c r="F144" s="3" t="s">
        <v>25</v>
      </c>
      <c r="G144" s="3" t="s">
        <v>26</v>
      </c>
      <c r="H144" s="3">
        <v>4</v>
      </c>
      <c r="I144" s="5">
        <v>249.99</v>
      </c>
      <c r="J144" s="3" t="s">
        <v>33</v>
      </c>
      <c r="K144" s="3" t="s">
        <v>57</v>
      </c>
      <c r="L144" s="3" t="s">
        <v>43</v>
      </c>
      <c r="M144" s="4">
        <v>44659</v>
      </c>
      <c r="N144" s="5">
        <v>999.96</v>
      </c>
      <c r="O144" s="6">
        <f t="shared" si="10"/>
        <v>45597</v>
      </c>
      <c r="P144" s="4">
        <f t="shared" si="11"/>
        <v>45626</v>
      </c>
      <c r="Q144" s="3">
        <f t="shared" si="12"/>
        <v>2</v>
      </c>
      <c r="R144" s="7">
        <f t="shared" ca="1" si="13"/>
        <v>717</v>
      </c>
      <c r="S144" s="3">
        <f t="shared" si="14"/>
        <v>8</v>
      </c>
      <c r="T144" s="3" t="str">
        <f>IF(COUNTIF($D$2:D144,D144)=1,"First","Repeat")</f>
        <v>Repeat</v>
      </c>
      <c r="U144" s="3" t="str">
        <f>IF(AND($K144=DateTime_Filter!$C$21,$N144&gt;=DateTime_Filter!$C$22),MAX(U$1:U143)+1,"")</f>
        <v/>
      </c>
    </row>
    <row r="145" spans="1:21" x14ac:dyDescent="0.35">
      <c r="A145" s="3" t="s">
        <v>291</v>
      </c>
      <c r="B145" s="4">
        <v>45607</v>
      </c>
      <c r="C145" s="3" t="s">
        <v>22</v>
      </c>
      <c r="D145" s="3" t="s">
        <v>23</v>
      </c>
      <c r="E145" s="3" t="s">
        <v>38</v>
      </c>
      <c r="F145" s="3" t="s">
        <v>39</v>
      </c>
      <c r="G145" s="3" t="s">
        <v>40</v>
      </c>
      <c r="H145" s="3">
        <v>5</v>
      </c>
      <c r="I145" s="5">
        <v>59.99</v>
      </c>
      <c r="J145" s="3" t="s">
        <v>41</v>
      </c>
      <c r="K145" s="3" t="s">
        <v>57</v>
      </c>
      <c r="L145" s="3" t="s">
        <v>34</v>
      </c>
      <c r="M145" s="4">
        <v>44694</v>
      </c>
      <c r="N145" s="5">
        <v>299.95</v>
      </c>
      <c r="O145" s="6">
        <f t="shared" si="10"/>
        <v>45597</v>
      </c>
      <c r="P145" s="4">
        <f t="shared" si="11"/>
        <v>45626</v>
      </c>
      <c r="Q145" s="3">
        <f t="shared" si="12"/>
        <v>2</v>
      </c>
      <c r="R145" s="7">
        <f t="shared" ca="1" si="13"/>
        <v>717</v>
      </c>
      <c r="S145" s="3">
        <f t="shared" si="14"/>
        <v>8</v>
      </c>
      <c r="T145" s="3" t="str">
        <f>IF(COUNTIF($D$2:D145,D145)=1,"First","Repeat")</f>
        <v>Repeat</v>
      </c>
      <c r="U145" s="3" t="str">
        <f>IF(AND($K145=DateTime_Filter!$C$21,$N145&gt;=DateTime_Filter!$C$22),MAX(U$1:U144)+1,"")</f>
        <v/>
      </c>
    </row>
    <row r="146" spans="1:21" x14ac:dyDescent="0.35">
      <c r="A146" s="3" t="s">
        <v>292</v>
      </c>
      <c r="B146" s="4">
        <v>45608</v>
      </c>
      <c r="C146" s="3" t="s">
        <v>90</v>
      </c>
      <c r="D146" s="3" t="s">
        <v>91</v>
      </c>
      <c r="E146" s="3" t="s">
        <v>38</v>
      </c>
      <c r="F146" s="3" t="s">
        <v>39</v>
      </c>
      <c r="G146" s="3" t="s">
        <v>40</v>
      </c>
      <c r="H146" s="3">
        <v>3</v>
      </c>
      <c r="I146" s="5">
        <v>59.99</v>
      </c>
      <c r="J146" s="3" t="s">
        <v>64</v>
      </c>
      <c r="K146" s="3" t="s">
        <v>42</v>
      </c>
      <c r="L146" s="3" t="s">
        <v>43</v>
      </c>
      <c r="M146" s="4">
        <v>45260</v>
      </c>
      <c r="N146" s="5">
        <v>179.97</v>
      </c>
      <c r="O146" s="6">
        <f t="shared" si="10"/>
        <v>45597</v>
      </c>
      <c r="P146" s="4">
        <f t="shared" si="11"/>
        <v>45626</v>
      </c>
      <c r="Q146" s="3">
        <f t="shared" si="12"/>
        <v>0</v>
      </c>
      <c r="R146" s="7">
        <f t="shared" ca="1" si="13"/>
        <v>716</v>
      </c>
      <c r="S146" s="3">
        <f t="shared" si="14"/>
        <v>3</v>
      </c>
      <c r="T146" s="3" t="str">
        <f>IF(COUNTIF($D$2:D146,D146)=1,"First","Repeat")</f>
        <v>Repeat</v>
      </c>
      <c r="U146" s="3" t="str">
        <f>IF(AND($K146=DateTime_Filter!$C$21,$N146&gt;=DateTime_Filter!$C$22),MAX(U$1:U145)+1,"")</f>
        <v/>
      </c>
    </row>
    <row r="147" spans="1:21" x14ac:dyDescent="0.35">
      <c r="A147" s="3" t="s">
        <v>293</v>
      </c>
      <c r="B147" s="4">
        <v>45608</v>
      </c>
      <c r="C147" s="3" t="s">
        <v>161</v>
      </c>
      <c r="D147" s="3" t="s">
        <v>162</v>
      </c>
      <c r="E147" s="3" t="s">
        <v>51</v>
      </c>
      <c r="F147" s="3" t="s">
        <v>52</v>
      </c>
      <c r="G147" s="3" t="s">
        <v>53</v>
      </c>
      <c r="H147" s="3">
        <v>5</v>
      </c>
      <c r="I147" s="5">
        <v>149.99</v>
      </c>
      <c r="J147" s="3" t="s">
        <v>41</v>
      </c>
      <c r="K147" s="3" t="s">
        <v>28</v>
      </c>
      <c r="L147" s="3" t="s">
        <v>29</v>
      </c>
      <c r="M147" s="4">
        <v>44901</v>
      </c>
      <c r="N147" s="5">
        <v>749.95</v>
      </c>
      <c r="O147" s="6">
        <f t="shared" si="10"/>
        <v>45597</v>
      </c>
      <c r="P147" s="4">
        <f t="shared" si="11"/>
        <v>45626</v>
      </c>
      <c r="Q147" s="3">
        <f t="shared" si="12"/>
        <v>1</v>
      </c>
      <c r="R147" s="7">
        <f t="shared" ca="1" si="13"/>
        <v>716</v>
      </c>
      <c r="S147" s="3">
        <f t="shared" si="14"/>
        <v>5</v>
      </c>
      <c r="T147" s="3" t="str">
        <f>IF(COUNTIF($D$2:D147,D147)=1,"First","Repeat")</f>
        <v>Repeat</v>
      </c>
      <c r="U147" s="3" t="str">
        <f>IF(AND($K147=DateTime_Filter!$C$21,$N147&gt;=DateTime_Filter!$C$22),MAX(U$1:U146)+1,"")</f>
        <v/>
      </c>
    </row>
    <row r="148" spans="1:21" x14ac:dyDescent="0.35">
      <c r="A148" s="3" t="s">
        <v>294</v>
      </c>
      <c r="B148" s="4">
        <v>45613</v>
      </c>
      <c r="C148" s="3" t="s">
        <v>93</v>
      </c>
      <c r="D148" s="3" t="s">
        <v>94</v>
      </c>
      <c r="E148" s="3" t="s">
        <v>87</v>
      </c>
      <c r="F148" s="3" t="s">
        <v>88</v>
      </c>
      <c r="G148" s="3" t="s">
        <v>26</v>
      </c>
      <c r="H148" s="3">
        <v>2</v>
      </c>
      <c r="I148" s="5">
        <v>699.99</v>
      </c>
      <c r="J148" s="3" t="s">
        <v>41</v>
      </c>
      <c r="K148" s="3" t="s">
        <v>57</v>
      </c>
      <c r="L148" s="3" t="s">
        <v>43</v>
      </c>
      <c r="M148" s="4">
        <v>44770</v>
      </c>
      <c r="N148" s="5">
        <v>1399.98</v>
      </c>
      <c r="O148" s="6">
        <f t="shared" si="10"/>
        <v>45597</v>
      </c>
      <c r="P148" s="4">
        <f t="shared" si="11"/>
        <v>45626</v>
      </c>
      <c r="Q148" s="3">
        <f t="shared" si="12"/>
        <v>2</v>
      </c>
      <c r="R148" s="7">
        <f t="shared" ca="1" si="13"/>
        <v>711</v>
      </c>
      <c r="S148" s="3">
        <f t="shared" si="14"/>
        <v>12</v>
      </c>
      <c r="T148" s="3" t="str">
        <f>IF(COUNTIF($D$2:D148,D148)=1,"First","Repeat")</f>
        <v>Repeat</v>
      </c>
      <c r="U148" s="3" t="str">
        <f>IF(AND($K148=DateTime_Filter!$C$21,$N148&gt;=DateTime_Filter!$C$22),MAX(U$1:U147)+1,"")</f>
        <v/>
      </c>
    </row>
    <row r="149" spans="1:21" x14ac:dyDescent="0.35">
      <c r="A149" s="3" t="s">
        <v>295</v>
      </c>
      <c r="B149" s="4">
        <v>45613</v>
      </c>
      <c r="C149" s="3" t="s">
        <v>241</v>
      </c>
      <c r="D149" s="3" t="s">
        <v>242</v>
      </c>
      <c r="E149" s="3" t="s">
        <v>51</v>
      </c>
      <c r="F149" s="3" t="s">
        <v>52</v>
      </c>
      <c r="G149" s="3" t="s">
        <v>53</v>
      </c>
      <c r="H149" s="3">
        <v>5</v>
      </c>
      <c r="I149" s="5">
        <v>149.99</v>
      </c>
      <c r="J149" s="3" t="s">
        <v>27</v>
      </c>
      <c r="K149" s="3" t="s">
        <v>47</v>
      </c>
      <c r="L149" s="3" t="s">
        <v>29</v>
      </c>
      <c r="M149" s="4">
        <v>44869</v>
      </c>
      <c r="N149" s="5">
        <v>749.95</v>
      </c>
      <c r="O149" s="6">
        <f t="shared" si="10"/>
        <v>45597</v>
      </c>
      <c r="P149" s="4">
        <f t="shared" si="11"/>
        <v>45626</v>
      </c>
      <c r="Q149" s="3">
        <f t="shared" si="12"/>
        <v>2</v>
      </c>
      <c r="R149" s="7">
        <f t="shared" ca="1" si="13"/>
        <v>711</v>
      </c>
      <c r="S149" s="3">
        <f t="shared" si="14"/>
        <v>5</v>
      </c>
      <c r="T149" s="3" t="str">
        <f>IF(COUNTIF($D$2:D149,D149)=1,"First","Repeat")</f>
        <v>Repeat</v>
      </c>
      <c r="U149" s="3" t="str">
        <f>IF(AND($K149=DateTime_Filter!$C$21,$N149&gt;=DateTime_Filter!$C$22),MAX(U$1:U148)+1,"")</f>
        <v/>
      </c>
    </row>
    <row r="150" spans="1:21" x14ac:dyDescent="0.35">
      <c r="A150" s="3" t="s">
        <v>296</v>
      </c>
      <c r="B150" s="4">
        <v>45617</v>
      </c>
      <c r="C150" s="3" t="s">
        <v>133</v>
      </c>
      <c r="D150" s="3" t="s">
        <v>134</v>
      </c>
      <c r="E150" s="3" t="s">
        <v>130</v>
      </c>
      <c r="F150" s="3" t="s">
        <v>131</v>
      </c>
      <c r="G150" s="3" t="s">
        <v>53</v>
      </c>
      <c r="H150" s="3">
        <v>4</v>
      </c>
      <c r="I150" s="5">
        <v>199.99</v>
      </c>
      <c r="J150" s="3" t="s">
        <v>64</v>
      </c>
      <c r="K150" s="3" t="s">
        <v>28</v>
      </c>
      <c r="L150" s="3" t="s">
        <v>34</v>
      </c>
      <c r="M150" s="4">
        <v>44427</v>
      </c>
      <c r="N150" s="5">
        <v>799.96</v>
      </c>
      <c r="O150" s="6">
        <f t="shared" si="10"/>
        <v>45597</v>
      </c>
      <c r="P150" s="4">
        <f t="shared" si="11"/>
        <v>45626</v>
      </c>
      <c r="Q150" s="3">
        <f t="shared" si="12"/>
        <v>3</v>
      </c>
      <c r="R150" s="7">
        <f t="shared" ca="1" si="13"/>
        <v>707</v>
      </c>
      <c r="S150" s="3">
        <f t="shared" si="14"/>
        <v>6</v>
      </c>
      <c r="T150" s="3" t="str">
        <f>IF(COUNTIF($D$2:D150,D150)=1,"First","Repeat")</f>
        <v>Repeat</v>
      </c>
      <c r="U150" s="3" t="str">
        <f>IF(AND($K150=DateTime_Filter!$C$21,$N150&gt;=DateTime_Filter!$C$22),MAX(U$1:U149)+1,"")</f>
        <v/>
      </c>
    </row>
    <row r="151" spans="1:21" x14ac:dyDescent="0.35">
      <c r="A151" s="3" t="s">
        <v>297</v>
      </c>
      <c r="B151" s="4">
        <v>45619</v>
      </c>
      <c r="C151" s="3" t="s">
        <v>199</v>
      </c>
      <c r="D151" s="3" t="s">
        <v>200</v>
      </c>
      <c r="E151" s="3" t="s">
        <v>38</v>
      </c>
      <c r="F151" s="3" t="s">
        <v>39</v>
      </c>
      <c r="G151" s="3" t="s">
        <v>40</v>
      </c>
      <c r="H151" s="3">
        <v>1</v>
      </c>
      <c r="I151" s="5">
        <v>59.99</v>
      </c>
      <c r="J151" s="3" t="s">
        <v>64</v>
      </c>
      <c r="K151" s="3" t="s">
        <v>57</v>
      </c>
      <c r="L151" s="3" t="s">
        <v>43</v>
      </c>
      <c r="M151" s="4">
        <v>44560</v>
      </c>
      <c r="N151" s="5">
        <v>59.99</v>
      </c>
      <c r="O151" s="6">
        <f t="shared" si="10"/>
        <v>45597</v>
      </c>
      <c r="P151" s="4">
        <f t="shared" si="11"/>
        <v>45626</v>
      </c>
      <c r="Q151" s="3">
        <f t="shared" si="12"/>
        <v>2</v>
      </c>
      <c r="R151" s="7">
        <f t="shared" ca="1" si="13"/>
        <v>705</v>
      </c>
      <c r="S151" s="3">
        <f t="shared" si="14"/>
        <v>5</v>
      </c>
      <c r="T151" s="3" t="str">
        <f>IF(COUNTIF($D$2:D151,D151)=1,"First","Repeat")</f>
        <v>Repeat</v>
      </c>
      <c r="U151" s="3" t="str">
        <f>IF(AND($K151=DateTime_Filter!$C$21,$N151&gt;=DateTime_Filter!$C$22),MAX(U$1:U150)+1,"")</f>
        <v/>
      </c>
    </row>
    <row r="152" spans="1:21" x14ac:dyDescent="0.35">
      <c r="A152" s="3" t="s">
        <v>298</v>
      </c>
      <c r="B152" s="4">
        <v>45619</v>
      </c>
      <c r="C152" s="3" t="s">
        <v>161</v>
      </c>
      <c r="D152" s="3" t="s">
        <v>162</v>
      </c>
      <c r="E152" s="3" t="s">
        <v>87</v>
      </c>
      <c r="F152" s="3" t="s">
        <v>88</v>
      </c>
      <c r="G152" s="3" t="s">
        <v>26</v>
      </c>
      <c r="H152" s="3">
        <v>3</v>
      </c>
      <c r="I152" s="5">
        <v>699.99</v>
      </c>
      <c r="J152" s="3" t="s">
        <v>41</v>
      </c>
      <c r="K152" s="3" t="s">
        <v>57</v>
      </c>
      <c r="L152" s="3" t="s">
        <v>43</v>
      </c>
      <c r="M152" s="4">
        <v>44583</v>
      </c>
      <c r="N152" s="5">
        <v>2099.9699999999998</v>
      </c>
      <c r="O152" s="6">
        <f t="shared" si="10"/>
        <v>45597</v>
      </c>
      <c r="P152" s="4">
        <f t="shared" si="11"/>
        <v>45626</v>
      </c>
      <c r="Q152" s="3">
        <f t="shared" si="12"/>
        <v>2</v>
      </c>
      <c r="R152" s="7">
        <f t="shared" ca="1" si="13"/>
        <v>705</v>
      </c>
      <c r="S152" s="3">
        <f t="shared" si="14"/>
        <v>5</v>
      </c>
      <c r="T152" s="3" t="str">
        <f>IF(COUNTIF($D$2:D152,D152)=1,"First","Repeat")</f>
        <v>Repeat</v>
      </c>
      <c r="U152" s="3" t="str">
        <f>IF(AND($K152=DateTime_Filter!$C$21,$N152&gt;=DateTime_Filter!$C$22),MAX(U$1:U151)+1,"")</f>
        <v/>
      </c>
    </row>
    <row r="153" spans="1:21" x14ac:dyDescent="0.35">
      <c r="A153" s="3" t="s">
        <v>299</v>
      </c>
      <c r="B153" s="4">
        <v>45622</v>
      </c>
      <c r="C153" s="3" t="s">
        <v>300</v>
      </c>
      <c r="D153" s="3" t="s">
        <v>301</v>
      </c>
      <c r="E153" s="3" t="s">
        <v>24</v>
      </c>
      <c r="F153" s="3" t="s">
        <v>25</v>
      </c>
      <c r="G153" s="3" t="s">
        <v>26</v>
      </c>
      <c r="H153" s="3">
        <v>5</v>
      </c>
      <c r="I153" s="5">
        <v>249.99</v>
      </c>
      <c r="J153" s="3" t="s">
        <v>33</v>
      </c>
      <c r="K153" s="3" t="s">
        <v>47</v>
      </c>
      <c r="L153" s="3" t="s">
        <v>29</v>
      </c>
      <c r="M153" s="4">
        <v>44873</v>
      </c>
      <c r="N153" s="5">
        <v>1249.95</v>
      </c>
      <c r="O153" s="6">
        <f t="shared" si="10"/>
        <v>45597</v>
      </c>
      <c r="P153" s="4">
        <f t="shared" si="11"/>
        <v>45626</v>
      </c>
      <c r="Q153" s="3">
        <f t="shared" si="12"/>
        <v>2</v>
      </c>
      <c r="R153" s="7">
        <f t="shared" ca="1" si="13"/>
        <v>702</v>
      </c>
      <c r="S153" s="3">
        <f t="shared" si="14"/>
        <v>4</v>
      </c>
      <c r="T153" s="3" t="str">
        <f>IF(COUNTIF($D$2:D153,D153)=1,"First","Repeat")</f>
        <v>First</v>
      </c>
      <c r="U153" s="3">
        <f>IF(AND($K153=DateTime_Filter!$C$21,$N153&gt;=DateTime_Filter!$C$22),MAX(U$1:U152)+1,"")</f>
        <v>7</v>
      </c>
    </row>
    <row r="154" spans="1:21" x14ac:dyDescent="0.35">
      <c r="A154" s="3" t="s">
        <v>302</v>
      </c>
      <c r="B154" s="4">
        <v>45623</v>
      </c>
      <c r="C154" s="3" t="s">
        <v>122</v>
      </c>
      <c r="D154" s="3" t="s">
        <v>123</v>
      </c>
      <c r="E154" s="3" t="s">
        <v>51</v>
      </c>
      <c r="F154" s="3" t="s">
        <v>52</v>
      </c>
      <c r="G154" s="3" t="s">
        <v>53</v>
      </c>
      <c r="H154" s="3">
        <v>2</v>
      </c>
      <c r="I154" s="5">
        <v>149.99</v>
      </c>
      <c r="J154" s="3" t="s">
        <v>27</v>
      </c>
      <c r="K154" s="3" t="s">
        <v>42</v>
      </c>
      <c r="L154" s="3" t="s">
        <v>43</v>
      </c>
      <c r="M154" s="4">
        <v>45101</v>
      </c>
      <c r="N154" s="5">
        <v>299.98</v>
      </c>
      <c r="O154" s="6">
        <f t="shared" si="10"/>
        <v>45597</v>
      </c>
      <c r="P154" s="4">
        <f t="shared" si="11"/>
        <v>45626</v>
      </c>
      <c r="Q154" s="3">
        <f t="shared" si="12"/>
        <v>1</v>
      </c>
      <c r="R154" s="7">
        <f t="shared" ca="1" si="13"/>
        <v>701</v>
      </c>
      <c r="S154" s="3">
        <f t="shared" si="14"/>
        <v>4</v>
      </c>
      <c r="T154" s="3" t="str">
        <f>IF(COUNTIF($D$2:D154,D154)=1,"First","Repeat")</f>
        <v>Repeat</v>
      </c>
      <c r="U154" s="3" t="str">
        <f>IF(AND($K154=DateTime_Filter!$C$21,$N154&gt;=DateTime_Filter!$C$22),MAX(U$1:U153)+1,"")</f>
        <v/>
      </c>
    </row>
    <row r="155" spans="1:21" x14ac:dyDescent="0.35">
      <c r="A155" s="3" t="s">
        <v>303</v>
      </c>
      <c r="B155" s="4">
        <v>45627</v>
      </c>
      <c r="C155" s="3" t="s">
        <v>36</v>
      </c>
      <c r="D155" s="3" t="s">
        <v>37</v>
      </c>
      <c r="E155" s="3" t="s">
        <v>112</v>
      </c>
      <c r="F155" s="3" t="s">
        <v>113</v>
      </c>
      <c r="G155" s="3" t="s">
        <v>53</v>
      </c>
      <c r="H155" s="3">
        <v>3</v>
      </c>
      <c r="I155" s="5">
        <v>299.99</v>
      </c>
      <c r="J155" s="3" t="s">
        <v>27</v>
      </c>
      <c r="K155" s="3" t="s">
        <v>42</v>
      </c>
      <c r="L155" s="3" t="s">
        <v>34</v>
      </c>
      <c r="M155" s="4">
        <v>44659</v>
      </c>
      <c r="N155" s="5">
        <v>899.97</v>
      </c>
      <c r="O155" s="6">
        <f t="shared" si="10"/>
        <v>45627</v>
      </c>
      <c r="P155" s="4">
        <f t="shared" si="11"/>
        <v>45657</v>
      </c>
      <c r="Q155" s="3">
        <f t="shared" si="12"/>
        <v>2</v>
      </c>
      <c r="R155" s="7">
        <f t="shared" ca="1" si="13"/>
        <v>697</v>
      </c>
      <c r="S155" s="3">
        <f t="shared" si="14"/>
        <v>6</v>
      </c>
      <c r="T155" s="3" t="str">
        <f>IF(COUNTIF($D$2:D155,D155)=1,"First","Repeat")</f>
        <v>Repeat</v>
      </c>
      <c r="U155" s="3" t="str">
        <f>IF(AND($K155=DateTime_Filter!$C$21,$N155&gt;=DateTime_Filter!$C$22),MAX(U$1:U154)+1,"")</f>
        <v/>
      </c>
    </row>
    <row r="156" spans="1:21" x14ac:dyDescent="0.35">
      <c r="A156" s="3" t="s">
        <v>304</v>
      </c>
      <c r="B156" s="4">
        <v>45627</v>
      </c>
      <c r="C156" s="3" t="s">
        <v>62</v>
      </c>
      <c r="D156" s="3" t="s">
        <v>63</v>
      </c>
      <c r="E156" s="3" t="s">
        <v>24</v>
      </c>
      <c r="F156" s="3" t="s">
        <v>25</v>
      </c>
      <c r="G156" s="3" t="s">
        <v>26</v>
      </c>
      <c r="H156" s="3">
        <v>5</v>
      </c>
      <c r="I156" s="5">
        <v>249.99</v>
      </c>
      <c r="J156" s="3" t="s">
        <v>27</v>
      </c>
      <c r="K156" s="3" t="s">
        <v>28</v>
      </c>
      <c r="L156" s="3" t="s">
        <v>34</v>
      </c>
      <c r="M156" s="4">
        <v>44485</v>
      </c>
      <c r="N156" s="5">
        <v>1249.95</v>
      </c>
      <c r="O156" s="6">
        <f t="shared" si="10"/>
        <v>45627</v>
      </c>
      <c r="P156" s="4">
        <f t="shared" si="11"/>
        <v>45657</v>
      </c>
      <c r="Q156" s="3">
        <f t="shared" si="12"/>
        <v>3</v>
      </c>
      <c r="R156" s="7">
        <f t="shared" ca="1" si="13"/>
        <v>697</v>
      </c>
      <c r="S156" s="3">
        <f t="shared" si="14"/>
        <v>9</v>
      </c>
      <c r="T156" s="3" t="str">
        <f>IF(COUNTIF($D$2:D156,D156)=1,"First","Repeat")</f>
        <v>Repeat</v>
      </c>
      <c r="U156" s="3" t="str">
        <f>IF(AND($K156=DateTime_Filter!$C$21,$N156&gt;=DateTime_Filter!$C$22),MAX(U$1:U155)+1,"")</f>
        <v/>
      </c>
    </row>
    <row r="157" spans="1:21" x14ac:dyDescent="0.35">
      <c r="A157" s="3" t="s">
        <v>305</v>
      </c>
      <c r="B157" s="4">
        <v>45627</v>
      </c>
      <c r="C157" s="3" t="s">
        <v>31</v>
      </c>
      <c r="D157" s="3" t="s">
        <v>32</v>
      </c>
      <c r="E157" s="3" t="s">
        <v>59</v>
      </c>
      <c r="F157" s="3" t="s">
        <v>60</v>
      </c>
      <c r="G157" s="3" t="s">
        <v>26</v>
      </c>
      <c r="H157" s="3">
        <v>2</v>
      </c>
      <c r="I157" s="5">
        <v>149.99</v>
      </c>
      <c r="J157" s="3" t="s">
        <v>27</v>
      </c>
      <c r="K157" s="3" t="s">
        <v>42</v>
      </c>
      <c r="L157" s="3" t="s">
        <v>34</v>
      </c>
      <c r="M157" s="4">
        <v>44475</v>
      </c>
      <c r="N157" s="5">
        <v>299.98</v>
      </c>
      <c r="O157" s="6">
        <f t="shared" si="10"/>
        <v>45627</v>
      </c>
      <c r="P157" s="4">
        <f t="shared" si="11"/>
        <v>45657</v>
      </c>
      <c r="Q157" s="3">
        <f t="shared" si="12"/>
        <v>3</v>
      </c>
      <c r="R157" s="7">
        <f t="shared" ca="1" si="13"/>
        <v>697</v>
      </c>
      <c r="S157" s="3">
        <f t="shared" si="14"/>
        <v>5</v>
      </c>
      <c r="T157" s="3" t="str">
        <f>IF(COUNTIF($D$2:D157,D157)=1,"First","Repeat")</f>
        <v>Repeat</v>
      </c>
      <c r="U157" s="3" t="str">
        <f>IF(AND($K157=DateTime_Filter!$C$21,$N157&gt;=DateTime_Filter!$C$22),MAX(U$1:U156)+1,"")</f>
        <v/>
      </c>
    </row>
    <row r="158" spans="1:21" x14ac:dyDescent="0.35">
      <c r="A158" s="3" t="s">
        <v>306</v>
      </c>
      <c r="B158" s="4">
        <v>45627</v>
      </c>
      <c r="C158" s="3" t="s">
        <v>93</v>
      </c>
      <c r="D158" s="3" t="s">
        <v>94</v>
      </c>
      <c r="E158" s="3" t="s">
        <v>87</v>
      </c>
      <c r="F158" s="3" t="s">
        <v>88</v>
      </c>
      <c r="G158" s="3" t="s">
        <v>26</v>
      </c>
      <c r="H158" s="3">
        <v>5</v>
      </c>
      <c r="I158" s="5">
        <v>699.99</v>
      </c>
      <c r="J158" s="3" t="s">
        <v>64</v>
      </c>
      <c r="K158" s="3" t="s">
        <v>57</v>
      </c>
      <c r="L158" s="3" t="s">
        <v>43</v>
      </c>
      <c r="M158" s="4">
        <v>44944</v>
      </c>
      <c r="N158" s="5">
        <v>3499.95</v>
      </c>
      <c r="O158" s="6">
        <f t="shared" si="10"/>
        <v>45627</v>
      </c>
      <c r="P158" s="4">
        <f t="shared" si="11"/>
        <v>45657</v>
      </c>
      <c r="Q158" s="3">
        <f t="shared" si="12"/>
        <v>1</v>
      </c>
      <c r="R158" s="7">
        <f t="shared" ca="1" si="13"/>
        <v>697</v>
      </c>
      <c r="S158" s="3">
        <f t="shared" si="14"/>
        <v>12</v>
      </c>
      <c r="T158" s="3" t="str">
        <f>IF(COUNTIF($D$2:D158,D158)=1,"First","Repeat")</f>
        <v>Repeat</v>
      </c>
      <c r="U158" s="3" t="str">
        <f>IF(AND($K158=DateTime_Filter!$C$21,$N158&gt;=DateTime_Filter!$C$22),MAX(U$1:U157)+1,"")</f>
        <v/>
      </c>
    </row>
    <row r="159" spans="1:21" x14ac:dyDescent="0.35">
      <c r="A159" s="3" t="s">
        <v>307</v>
      </c>
      <c r="B159" s="4">
        <v>45629</v>
      </c>
      <c r="C159" s="3" t="s">
        <v>259</v>
      </c>
      <c r="D159" s="3" t="s">
        <v>260</v>
      </c>
      <c r="E159" s="3" t="s">
        <v>24</v>
      </c>
      <c r="F159" s="3" t="s">
        <v>25</v>
      </c>
      <c r="G159" s="3" t="s">
        <v>26</v>
      </c>
      <c r="H159" s="3">
        <v>4</v>
      </c>
      <c r="I159" s="5">
        <v>249.99</v>
      </c>
      <c r="J159" s="3" t="s">
        <v>41</v>
      </c>
      <c r="K159" s="3" t="s">
        <v>70</v>
      </c>
      <c r="L159" s="3" t="s">
        <v>34</v>
      </c>
      <c r="M159" s="4">
        <v>45098</v>
      </c>
      <c r="N159" s="5">
        <v>999.96</v>
      </c>
      <c r="O159" s="6">
        <f t="shared" si="10"/>
        <v>45627</v>
      </c>
      <c r="P159" s="4">
        <f t="shared" si="11"/>
        <v>45657</v>
      </c>
      <c r="Q159" s="3">
        <f t="shared" si="12"/>
        <v>1</v>
      </c>
      <c r="R159" s="7">
        <f t="shared" ca="1" si="13"/>
        <v>695</v>
      </c>
      <c r="S159" s="3">
        <f t="shared" si="14"/>
        <v>3</v>
      </c>
      <c r="T159" s="3" t="str">
        <f>IF(COUNTIF($D$2:D159,D159)=1,"First","Repeat")</f>
        <v>Repeat</v>
      </c>
      <c r="U159" s="3" t="str">
        <f>IF(AND($K159=DateTime_Filter!$C$21,$N159&gt;=DateTime_Filter!$C$22),MAX(U$1:U158)+1,"")</f>
        <v/>
      </c>
    </row>
    <row r="160" spans="1:21" x14ac:dyDescent="0.35">
      <c r="A160" s="3" t="s">
        <v>308</v>
      </c>
      <c r="B160" s="4">
        <v>45630</v>
      </c>
      <c r="C160" s="3" t="s">
        <v>55</v>
      </c>
      <c r="D160" s="3" t="s">
        <v>56</v>
      </c>
      <c r="E160" s="3" t="s">
        <v>87</v>
      </c>
      <c r="F160" s="3" t="s">
        <v>88</v>
      </c>
      <c r="G160" s="3" t="s">
        <v>26</v>
      </c>
      <c r="H160" s="3">
        <v>4</v>
      </c>
      <c r="I160" s="5">
        <v>699.99</v>
      </c>
      <c r="J160" s="3" t="s">
        <v>33</v>
      </c>
      <c r="K160" s="3" t="s">
        <v>47</v>
      </c>
      <c r="L160" s="3" t="s">
        <v>34</v>
      </c>
      <c r="M160" s="4">
        <v>44703</v>
      </c>
      <c r="N160" s="5">
        <v>2799.96</v>
      </c>
      <c r="O160" s="6">
        <f t="shared" si="10"/>
        <v>45627</v>
      </c>
      <c r="P160" s="4">
        <f t="shared" si="11"/>
        <v>45657</v>
      </c>
      <c r="Q160" s="3">
        <f t="shared" si="12"/>
        <v>2</v>
      </c>
      <c r="R160" s="7">
        <f t="shared" ca="1" si="13"/>
        <v>694</v>
      </c>
      <c r="S160" s="3">
        <f t="shared" si="14"/>
        <v>6</v>
      </c>
      <c r="T160" s="3" t="str">
        <f>IF(COUNTIF($D$2:D160,D160)=1,"First","Repeat")</f>
        <v>Repeat</v>
      </c>
      <c r="U160" s="3">
        <f>IF(AND($K160=DateTime_Filter!$C$21,$N160&gt;=DateTime_Filter!$C$22),MAX(U$1:U159)+1,"")</f>
        <v>8</v>
      </c>
    </row>
    <row r="161" spans="1:21" x14ac:dyDescent="0.35">
      <c r="A161" s="3" t="s">
        <v>309</v>
      </c>
      <c r="B161" s="4">
        <v>45635</v>
      </c>
      <c r="C161" s="3" t="s">
        <v>148</v>
      </c>
      <c r="D161" s="3" t="s">
        <v>149</v>
      </c>
      <c r="E161" s="3" t="s">
        <v>124</v>
      </c>
      <c r="F161" s="3" t="s">
        <v>125</v>
      </c>
      <c r="G161" s="3" t="s">
        <v>40</v>
      </c>
      <c r="H161" s="3">
        <v>4</v>
      </c>
      <c r="I161" s="5">
        <v>79.989999999999995</v>
      </c>
      <c r="J161" s="3" t="s">
        <v>64</v>
      </c>
      <c r="K161" s="3" t="s">
        <v>70</v>
      </c>
      <c r="L161" s="3" t="s">
        <v>43</v>
      </c>
      <c r="M161" s="4">
        <v>44921</v>
      </c>
      <c r="N161" s="5">
        <v>319.95999999999998</v>
      </c>
      <c r="O161" s="6">
        <f t="shared" si="10"/>
        <v>45627</v>
      </c>
      <c r="P161" s="4">
        <f t="shared" si="11"/>
        <v>45657</v>
      </c>
      <c r="Q161" s="3">
        <f t="shared" si="12"/>
        <v>1</v>
      </c>
      <c r="R161" s="7">
        <f t="shared" ca="1" si="13"/>
        <v>689</v>
      </c>
      <c r="S161" s="3">
        <f t="shared" si="14"/>
        <v>4</v>
      </c>
      <c r="T161" s="3" t="str">
        <f>IF(COUNTIF($D$2:D161,D161)=1,"First","Repeat")</f>
        <v>Repeat</v>
      </c>
      <c r="U161" s="3" t="str">
        <f>IF(AND($K161=DateTime_Filter!$C$21,$N161&gt;=DateTime_Filter!$C$22),MAX(U$1:U160)+1,"")</f>
        <v/>
      </c>
    </row>
    <row r="162" spans="1:21" x14ac:dyDescent="0.35">
      <c r="A162" s="3" t="s">
        <v>310</v>
      </c>
      <c r="B162" s="4">
        <v>45635</v>
      </c>
      <c r="C162" s="3" t="s">
        <v>311</v>
      </c>
      <c r="D162" s="3" t="s">
        <v>312</v>
      </c>
      <c r="E162" s="3" t="s">
        <v>38</v>
      </c>
      <c r="F162" s="3" t="s">
        <v>39</v>
      </c>
      <c r="G162" s="3" t="s">
        <v>40</v>
      </c>
      <c r="H162" s="3">
        <v>3</v>
      </c>
      <c r="I162" s="5">
        <v>59.99</v>
      </c>
      <c r="J162" s="3" t="s">
        <v>27</v>
      </c>
      <c r="K162" s="3" t="s">
        <v>28</v>
      </c>
      <c r="L162" s="3" t="s">
        <v>34</v>
      </c>
      <c r="M162" s="4">
        <v>45052</v>
      </c>
      <c r="N162" s="5">
        <v>179.97</v>
      </c>
      <c r="O162" s="6">
        <f t="shared" si="10"/>
        <v>45627</v>
      </c>
      <c r="P162" s="4">
        <f t="shared" si="11"/>
        <v>45657</v>
      </c>
      <c r="Q162" s="3">
        <f t="shared" si="12"/>
        <v>1</v>
      </c>
      <c r="R162" s="7">
        <f t="shared" ca="1" si="13"/>
        <v>689</v>
      </c>
      <c r="S162" s="3">
        <f t="shared" si="14"/>
        <v>1</v>
      </c>
      <c r="T162" s="3" t="str">
        <f>IF(COUNTIF($D$2:D162,D162)=1,"First","Repeat")</f>
        <v>First</v>
      </c>
      <c r="U162" s="3" t="str">
        <f>IF(AND($K162=DateTime_Filter!$C$21,$N162&gt;=DateTime_Filter!$C$22),MAX(U$1:U161)+1,"")</f>
        <v/>
      </c>
    </row>
    <row r="163" spans="1:21" x14ac:dyDescent="0.35">
      <c r="A163" s="3" t="s">
        <v>313</v>
      </c>
      <c r="B163" s="4">
        <v>45635</v>
      </c>
      <c r="C163" s="3" t="s">
        <v>115</v>
      </c>
      <c r="D163" s="3" t="s">
        <v>116</v>
      </c>
      <c r="E163" s="3" t="s">
        <v>24</v>
      </c>
      <c r="F163" s="3" t="s">
        <v>25</v>
      </c>
      <c r="G163" s="3" t="s">
        <v>26</v>
      </c>
      <c r="H163" s="3">
        <v>2</v>
      </c>
      <c r="I163" s="5">
        <v>249.99</v>
      </c>
      <c r="J163" s="3" t="s">
        <v>33</v>
      </c>
      <c r="K163" s="3" t="s">
        <v>28</v>
      </c>
      <c r="L163" s="3" t="s">
        <v>34</v>
      </c>
      <c r="M163" s="4">
        <v>44396</v>
      </c>
      <c r="N163" s="5">
        <v>499.98</v>
      </c>
      <c r="O163" s="6">
        <f t="shared" si="10"/>
        <v>45627</v>
      </c>
      <c r="P163" s="4">
        <f t="shared" si="11"/>
        <v>45657</v>
      </c>
      <c r="Q163" s="3">
        <f t="shared" si="12"/>
        <v>3</v>
      </c>
      <c r="R163" s="7">
        <f t="shared" ca="1" si="13"/>
        <v>689</v>
      </c>
      <c r="S163" s="3">
        <f t="shared" si="14"/>
        <v>6</v>
      </c>
      <c r="T163" s="3" t="str">
        <f>IF(COUNTIF($D$2:D163,D163)=1,"First","Repeat")</f>
        <v>Repeat</v>
      </c>
      <c r="U163" s="3" t="str">
        <f>IF(AND($K163=DateTime_Filter!$C$21,$N163&gt;=DateTime_Filter!$C$22),MAX(U$1:U162)+1,"")</f>
        <v/>
      </c>
    </row>
    <row r="164" spans="1:21" x14ac:dyDescent="0.35">
      <c r="A164" s="3" t="s">
        <v>314</v>
      </c>
      <c r="B164" s="4">
        <v>45636</v>
      </c>
      <c r="C164" s="3" t="s">
        <v>127</v>
      </c>
      <c r="D164" s="3" t="s">
        <v>128</v>
      </c>
      <c r="E164" s="3" t="s">
        <v>124</v>
      </c>
      <c r="F164" s="3" t="s">
        <v>125</v>
      </c>
      <c r="G164" s="3" t="s">
        <v>40</v>
      </c>
      <c r="H164" s="3">
        <v>3</v>
      </c>
      <c r="I164" s="5">
        <v>79.989999999999995</v>
      </c>
      <c r="J164" s="3" t="s">
        <v>64</v>
      </c>
      <c r="K164" s="3" t="s">
        <v>70</v>
      </c>
      <c r="L164" s="3" t="s">
        <v>43</v>
      </c>
      <c r="M164" s="4">
        <v>44779</v>
      </c>
      <c r="N164" s="5">
        <v>239.97</v>
      </c>
      <c r="O164" s="6">
        <f t="shared" si="10"/>
        <v>45627</v>
      </c>
      <c r="P164" s="4">
        <f t="shared" si="11"/>
        <v>45657</v>
      </c>
      <c r="Q164" s="3">
        <f t="shared" si="12"/>
        <v>2</v>
      </c>
      <c r="R164" s="7">
        <f t="shared" ca="1" si="13"/>
        <v>688</v>
      </c>
      <c r="S164" s="3">
        <f t="shared" si="14"/>
        <v>7</v>
      </c>
      <c r="T164" s="3" t="str">
        <f>IF(COUNTIF($D$2:D164,D164)=1,"First","Repeat")</f>
        <v>Repeat</v>
      </c>
      <c r="U164" s="3" t="str">
        <f>IF(AND($K164=DateTime_Filter!$C$21,$N164&gt;=DateTime_Filter!$C$22),MAX(U$1:U163)+1,"")</f>
        <v/>
      </c>
    </row>
    <row r="165" spans="1:21" x14ac:dyDescent="0.35">
      <c r="A165" s="3" t="s">
        <v>315</v>
      </c>
      <c r="B165" s="4">
        <v>45638</v>
      </c>
      <c r="C165" s="3" t="s">
        <v>79</v>
      </c>
      <c r="D165" s="3" t="s">
        <v>80</v>
      </c>
      <c r="E165" s="3" t="s">
        <v>68</v>
      </c>
      <c r="F165" s="3" t="s">
        <v>69</v>
      </c>
      <c r="G165" s="3" t="s">
        <v>26</v>
      </c>
      <c r="H165" s="3">
        <v>2</v>
      </c>
      <c r="I165" s="5">
        <v>899.99</v>
      </c>
      <c r="J165" s="3" t="s">
        <v>27</v>
      </c>
      <c r="K165" s="3" t="s">
        <v>47</v>
      </c>
      <c r="L165" s="3" t="s">
        <v>29</v>
      </c>
      <c r="M165" s="4">
        <v>44406</v>
      </c>
      <c r="N165" s="5">
        <v>1799.98</v>
      </c>
      <c r="O165" s="6">
        <f t="shared" si="10"/>
        <v>45627</v>
      </c>
      <c r="P165" s="4">
        <f t="shared" si="11"/>
        <v>45657</v>
      </c>
      <c r="Q165" s="3">
        <f t="shared" si="12"/>
        <v>3</v>
      </c>
      <c r="R165" s="7">
        <f t="shared" ca="1" si="13"/>
        <v>686</v>
      </c>
      <c r="S165" s="3">
        <f t="shared" si="14"/>
        <v>5</v>
      </c>
      <c r="T165" s="3" t="str">
        <f>IF(COUNTIF($D$2:D165,D165)=1,"First","Repeat")</f>
        <v>Repeat</v>
      </c>
      <c r="U165" s="3">
        <f>IF(AND($K165=DateTime_Filter!$C$21,$N165&gt;=DateTime_Filter!$C$22),MAX(U$1:U164)+1,"")</f>
        <v>9</v>
      </c>
    </row>
    <row r="166" spans="1:21" x14ac:dyDescent="0.35">
      <c r="A166" s="3" t="s">
        <v>316</v>
      </c>
      <c r="B166" s="4">
        <v>45641</v>
      </c>
      <c r="C166" s="3" t="s">
        <v>189</v>
      </c>
      <c r="D166" s="3" t="s">
        <v>190</v>
      </c>
      <c r="E166" s="3" t="s">
        <v>51</v>
      </c>
      <c r="F166" s="3" t="s">
        <v>52</v>
      </c>
      <c r="G166" s="3" t="s">
        <v>53</v>
      </c>
      <c r="H166" s="3">
        <v>1</v>
      </c>
      <c r="I166" s="5">
        <v>149.99</v>
      </c>
      <c r="J166" s="3" t="s">
        <v>64</v>
      </c>
      <c r="K166" s="3" t="s">
        <v>70</v>
      </c>
      <c r="L166" s="3" t="s">
        <v>43</v>
      </c>
      <c r="M166" s="4">
        <v>45200</v>
      </c>
      <c r="N166" s="5">
        <v>149.99</v>
      </c>
      <c r="O166" s="6">
        <f t="shared" si="10"/>
        <v>45627</v>
      </c>
      <c r="P166" s="4">
        <f t="shared" si="11"/>
        <v>45657</v>
      </c>
      <c r="Q166" s="3">
        <f t="shared" si="12"/>
        <v>1</v>
      </c>
      <c r="R166" s="7">
        <f t="shared" ca="1" si="13"/>
        <v>683</v>
      </c>
      <c r="S166" s="3">
        <f t="shared" si="14"/>
        <v>6</v>
      </c>
      <c r="T166" s="3" t="str">
        <f>IF(COUNTIF($D$2:D166,D166)=1,"First","Repeat")</f>
        <v>Repeat</v>
      </c>
      <c r="U166" s="3" t="str">
        <f>IF(AND($K166=DateTime_Filter!$C$21,$N166&gt;=DateTime_Filter!$C$22),MAX(U$1:U165)+1,"")</f>
        <v/>
      </c>
    </row>
    <row r="167" spans="1:21" x14ac:dyDescent="0.35">
      <c r="A167" s="3" t="s">
        <v>317</v>
      </c>
      <c r="B167" s="4">
        <v>45641</v>
      </c>
      <c r="C167" s="3" t="s">
        <v>145</v>
      </c>
      <c r="D167" s="3" t="s">
        <v>146</v>
      </c>
      <c r="E167" s="3" t="s">
        <v>112</v>
      </c>
      <c r="F167" s="3" t="s">
        <v>113</v>
      </c>
      <c r="G167" s="3" t="s">
        <v>53</v>
      </c>
      <c r="H167" s="3">
        <v>2</v>
      </c>
      <c r="I167" s="5">
        <v>299.99</v>
      </c>
      <c r="J167" s="3" t="s">
        <v>27</v>
      </c>
      <c r="K167" s="3" t="s">
        <v>70</v>
      </c>
      <c r="L167" s="3" t="s">
        <v>34</v>
      </c>
      <c r="M167" s="4">
        <v>44724</v>
      </c>
      <c r="N167" s="5">
        <v>599.98</v>
      </c>
      <c r="O167" s="6">
        <f t="shared" si="10"/>
        <v>45627</v>
      </c>
      <c r="P167" s="4">
        <f t="shared" si="11"/>
        <v>45657</v>
      </c>
      <c r="Q167" s="3">
        <f t="shared" si="12"/>
        <v>2</v>
      </c>
      <c r="R167" s="7">
        <f t="shared" ca="1" si="13"/>
        <v>683</v>
      </c>
      <c r="S167" s="3">
        <f t="shared" si="14"/>
        <v>6</v>
      </c>
      <c r="T167" s="3" t="str">
        <f>IF(COUNTIF($D$2:D167,D167)=1,"First","Repeat")</f>
        <v>Repeat</v>
      </c>
      <c r="U167" s="3" t="str">
        <f>IF(AND($K167=DateTime_Filter!$C$21,$N167&gt;=DateTime_Filter!$C$22),MAX(U$1:U166)+1,"")</f>
        <v/>
      </c>
    </row>
    <row r="168" spans="1:21" x14ac:dyDescent="0.35">
      <c r="A168" s="3" t="s">
        <v>318</v>
      </c>
      <c r="B168" s="4">
        <v>45644</v>
      </c>
      <c r="C168" s="3" t="s">
        <v>139</v>
      </c>
      <c r="D168" s="3" t="s">
        <v>140</v>
      </c>
      <c r="E168" s="3" t="s">
        <v>38</v>
      </c>
      <c r="F168" s="3" t="s">
        <v>39</v>
      </c>
      <c r="G168" s="3" t="s">
        <v>40</v>
      </c>
      <c r="H168" s="3">
        <v>2</v>
      </c>
      <c r="I168" s="5">
        <v>59.99</v>
      </c>
      <c r="J168" s="3" t="s">
        <v>27</v>
      </c>
      <c r="K168" s="3" t="s">
        <v>57</v>
      </c>
      <c r="L168" s="3" t="s">
        <v>29</v>
      </c>
      <c r="M168" s="4">
        <v>45191</v>
      </c>
      <c r="N168" s="5">
        <v>119.98</v>
      </c>
      <c r="O168" s="6">
        <f t="shared" si="10"/>
        <v>45627</v>
      </c>
      <c r="P168" s="4">
        <f t="shared" si="11"/>
        <v>45657</v>
      </c>
      <c r="Q168" s="3">
        <f t="shared" si="12"/>
        <v>1</v>
      </c>
      <c r="R168" s="7">
        <f t="shared" ca="1" si="13"/>
        <v>680</v>
      </c>
      <c r="S168" s="3">
        <f t="shared" si="14"/>
        <v>5</v>
      </c>
      <c r="T168" s="3" t="str">
        <f>IF(COUNTIF($D$2:D168,D168)=1,"First","Repeat")</f>
        <v>Repeat</v>
      </c>
      <c r="U168" s="3" t="str">
        <f>IF(AND($K168=DateTime_Filter!$C$21,$N168&gt;=DateTime_Filter!$C$22),MAX(U$1:U167)+1,"")</f>
        <v/>
      </c>
    </row>
    <row r="169" spans="1:21" x14ac:dyDescent="0.35">
      <c r="A169" s="3" t="s">
        <v>319</v>
      </c>
      <c r="B169" s="4">
        <v>45645</v>
      </c>
      <c r="C169" s="3" t="s">
        <v>154</v>
      </c>
      <c r="D169" s="3" t="s">
        <v>155</v>
      </c>
      <c r="E169" s="3" t="s">
        <v>68</v>
      </c>
      <c r="F169" s="3" t="s">
        <v>69</v>
      </c>
      <c r="G169" s="3" t="s">
        <v>26</v>
      </c>
      <c r="H169" s="3">
        <v>5</v>
      </c>
      <c r="I169" s="5">
        <v>899.99</v>
      </c>
      <c r="J169" s="3" t="s">
        <v>64</v>
      </c>
      <c r="K169" s="3" t="s">
        <v>70</v>
      </c>
      <c r="L169" s="3" t="s">
        <v>43</v>
      </c>
      <c r="M169" s="4">
        <v>44625</v>
      </c>
      <c r="N169" s="5">
        <v>4499.95</v>
      </c>
      <c r="O169" s="6">
        <f t="shared" si="10"/>
        <v>45627</v>
      </c>
      <c r="P169" s="4">
        <f t="shared" si="11"/>
        <v>45657</v>
      </c>
      <c r="Q169" s="3">
        <f t="shared" si="12"/>
        <v>2</v>
      </c>
      <c r="R169" s="7">
        <f t="shared" ca="1" si="13"/>
        <v>679</v>
      </c>
      <c r="S169" s="3">
        <f t="shared" si="14"/>
        <v>7</v>
      </c>
      <c r="T169" s="3" t="str">
        <f>IF(COUNTIF($D$2:D169,D169)=1,"First","Repeat")</f>
        <v>Repeat</v>
      </c>
      <c r="U169" s="3" t="str">
        <f>IF(AND($K169=DateTime_Filter!$C$21,$N169&gt;=DateTime_Filter!$C$22),MAX(U$1:U168)+1,"")</f>
        <v/>
      </c>
    </row>
    <row r="170" spans="1:21" x14ac:dyDescent="0.35">
      <c r="A170" s="3" t="s">
        <v>320</v>
      </c>
      <c r="B170" s="4">
        <v>45645</v>
      </c>
      <c r="C170" s="3" t="s">
        <v>189</v>
      </c>
      <c r="D170" s="3" t="s">
        <v>190</v>
      </c>
      <c r="E170" s="3" t="s">
        <v>118</v>
      </c>
      <c r="F170" s="3" t="s">
        <v>119</v>
      </c>
      <c r="G170" s="3" t="s">
        <v>26</v>
      </c>
      <c r="H170" s="3">
        <v>1</v>
      </c>
      <c r="I170" s="5">
        <v>89.99</v>
      </c>
      <c r="J170" s="3" t="s">
        <v>64</v>
      </c>
      <c r="K170" s="3" t="s">
        <v>28</v>
      </c>
      <c r="L170" s="3" t="s">
        <v>43</v>
      </c>
      <c r="M170" s="4">
        <v>44760</v>
      </c>
      <c r="N170" s="5">
        <v>89.99</v>
      </c>
      <c r="O170" s="6">
        <f t="shared" si="10"/>
        <v>45627</v>
      </c>
      <c r="P170" s="4">
        <f t="shared" si="11"/>
        <v>45657</v>
      </c>
      <c r="Q170" s="3">
        <f t="shared" si="12"/>
        <v>2</v>
      </c>
      <c r="R170" s="7">
        <f t="shared" ca="1" si="13"/>
        <v>679</v>
      </c>
      <c r="S170" s="3">
        <f t="shared" si="14"/>
        <v>6</v>
      </c>
      <c r="T170" s="3" t="str">
        <f>IF(COUNTIF($D$2:D170,D170)=1,"First","Repeat")</f>
        <v>Repeat</v>
      </c>
      <c r="U170" s="3" t="str">
        <f>IF(AND($K170=DateTime_Filter!$C$21,$N170&gt;=DateTime_Filter!$C$22),MAX(U$1:U169)+1,"")</f>
        <v/>
      </c>
    </row>
    <row r="171" spans="1:21" x14ac:dyDescent="0.35">
      <c r="A171" s="3" t="s">
        <v>321</v>
      </c>
      <c r="B171" s="4">
        <v>45646</v>
      </c>
      <c r="C171" s="3" t="s">
        <v>49</v>
      </c>
      <c r="D171" s="3" t="s">
        <v>50</v>
      </c>
      <c r="E171" s="3" t="s">
        <v>51</v>
      </c>
      <c r="F171" s="3" t="s">
        <v>52</v>
      </c>
      <c r="G171" s="3" t="s">
        <v>53</v>
      </c>
      <c r="H171" s="3">
        <v>2</v>
      </c>
      <c r="I171" s="5">
        <v>149.99</v>
      </c>
      <c r="J171" s="3" t="s">
        <v>27</v>
      </c>
      <c r="K171" s="3" t="s">
        <v>42</v>
      </c>
      <c r="L171" s="3" t="s">
        <v>29</v>
      </c>
      <c r="M171" s="4">
        <v>45239</v>
      </c>
      <c r="N171" s="5">
        <v>299.98</v>
      </c>
      <c r="O171" s="6">
        <f t="shared" si="10"/>
        <v>45627</v>
      </c>
      <c r="P171" s="4">
        <f t="shared" si="11"/>
        <v>45657</v>
      </c>
      <c r="Q171" s="3">
        <f t="shared" si="12"/>
        <v>1</v>
      </c>
      <c r="R171" s="7">
        <f t="shared" ca="1" si="13"/>
        <v>678</v>
      </c>
      <c r="S171" s="3">
        <f t="shared" si="14"/>
        <v>9</v>
      </c>
      <c r="T171" s="3" t="str">
        <f>IF(COUNTIF($D$2:D171,D171)=1,"First","Repeat")</f>
        <v>Repeat</v>
      </c>
      <c r="U171" s="3" t="str">
        <f>IF(AND($K171=DateTime_Filter!$C$21,$N171&gt;=DateTime_Filter!$C$22),MAX(U$1:U170)+1,"")</f>
        <v/>
      </c>
    </row>
    <row r="172" spans="1:21" x14ac:dyDescent="0.35">
      <c r="A172" s="3" t="s">
        <v>322</v>
      </c>
      <c r="B172" s="4">
        <v>45648</v>
      </c>
      <c r="C172" s="3" t="s">
        <v>189</v>
      </c>
      <c r="D172" s="3" t="s">
        <v>190</v>
      </c>
      <c r="E172" s="3" t="s">
        <v>51</v>
      </c>
      <c r="F172" s="3" t="s">
        <v>52</v>
      </c>
      <c r="G172" s="3" t="s">
        <v>53</v>
      </c>
      <c r="H172" s="3">
        <v>3</v>
      </c>
      <c r="I172" s="5">
        <v>149.99</v>
      </c>
      <c r="J172" s="3" t="s">
        <v>64</v>
      </c>
      <c r="K172" s="3" t="s">
        <v>47</v>
      </c>
      <c r="L172" s="3" t="s">
        <v>43</v>
      </c>
      <c r="M172" s="4">
        <v>44522</v>
      </c>
      <c r="N172" s="5">
        <v>449.97</v>
      </c>
      <c r="O172" s="6">
        <f t="shared" si="10"/>
        <v>45627</v>
      </c>
      <c r="P172" s="4">
        <f t="shared" si="11"/>
        <v>45657</v>
      </c>
      <c r="Q172" s="3">
        <f t="shared" si="12"/>
        <v>3</v>
      </c>
      <c r="R172" s="7">
        <f t="shared" ca="1" si="13"/>
        <v>676</v>
      </c>
      <c r="S172" s="3">
        <f t="shared" si="14"/>
        <v>6</v>
      </c>
      <c r="T172" s="3" t="str">
        <f>IF(COUNTIF($D$2:D172,D172)=1,"First","Repeat")</f>
        <v>Repeat</v>
      </c>
      <c r="U172" s="3" t="str">
        <f>IF(AND($K172=DateTime_Filter!$C$21,$N172&gt;=DateTime_Filter!$C$22),MAX(U$1:U171)+1,"")</f>
        <v/>
      </c>
    </row>
    <row r="173" spans="1:21" x14ac:dyDescent="0.35">
      <c r="A173" s="3" t="s">
        <v>323</v>
      </c>
      <c r="B173" s="4">
        <v>45648</v>
      </c>
      <c r="C173" s="3" t="s">
        <v>122</v>
      </c>
      <c r="D173" s="3" t="s">
        <v>123</v>
      </c>
      <c r="E173" s="3" t="s">
        <v>59</v>
      </c>
      <c r="F173" s="3" t="s">
        <v>60</v>
      </c>
      <c r="G173" s="3" t="s">
        <v>26</v>
      </c>
      <c r="H173" s="3">
        <v>2</v>
      </c>
      <c r="I173" s="5">
        <v>149.99</v>
      </c>
      <c r="J173" s="3" t="s">
        <v>64</v>
      </c>
      <c r="K173" s="3" t="s">
        <v>57</v>
      </c>
      <c r="L173" s="3" t="s">
        <v>34</v>
      </c>
      <c r="M173" s="4">
        <v>45280</v>
      </c>
      <c r="N173" s="5">
        <v>299.98</v>
      </c>
      <c r="O173" s="6">
        <f t="shared" si="10"/>
        <v>45627</v>
      </c>
      <c r="P173" s="4">
        <f t="shared" si="11"/>
        <v>45657</v>
      </c>
      <c r="Q173" s="3">
        <f t="shared" si="12"/>
        <v>1</v>
      </c>
      <c r="R173" s="7">
        <f t="shared" ca="1" si="13"/>
        <v>676</v>
      </c>
      <c r="S173" s="3">
        <f t="shared" si="14"/>
        <v>4</v>
      </c>
      <c r="T173" s="3" t="str">
        <f>IF(COUNTIF($D$2:D173,D173)=1,"First","Repeat")</f>
        <v>Repeat</v>
      </c>
      <c r="U173" s="3" t="str">
        <f>IF(AND($K173=DateTime_Filter!$C$21,$N173&gt;=DateTime_Filter!$C$22),MAX(U$1:U172)+1,"")</f>
        <v/>
      </c>
    </row>
    <row r="174" spans="1:21" x14ac:dyDescent="0.35">
      <c r="A174" s="3" t="s">
        <v>324</v>
      </c>
      <c r="B174" s="4">
        <v>45649</v>
      </c>
      <c r="C174" s="3" t="s">
        <v>36</v>
      </c>
      <c r="D174" s="3" t="s">
        <v>37</v>
      </c>
      <c r="E174" s="3" t="s">
        <v>112</v>
      </c>
      <c r="F174" s="3" t="s">
        <v>113</v>
      </c>
      <c r="G174" s="3" t="s">
        <v>53</v>
      </c>
      <c r="H174" s="3">
        <v>2</v>
      </c>
      <c r="I174" s="5">
        <v>299.99</v>
      </c>
      <c r="J174" s="3" t="s">
        <v>41</v>
      </c>
      <c r="K174" s="3" t="s">
        <v>42</v>
      </c>
      <c r="L174" s="3" t="s">
        <v>29</v>
      </c>
      <c r="M174" s="4">
        <v>44721</v>
      </c>
      <c r="N174" s="5">
        <v>599.98</v>
      </c>
      <c r="O174" s="6">
        <f t="shared" si="10"/>
        <v>45627</v>
      </c>
      <c r="P174" s="4">
        <f t="shared" si="11"/>
        <v>45657</v>
      </c>
      <c r="Q174" s="3">
        <f t="shared" si="12"/>
        <v>2</v>
      </c>
      <c r="R174" s="7">
        <f t="shared" ca="1" si="13"/>
        <v>675</v>
      </c>
      <c r="S174" s="3">
        <f t="shared" si="14"/>
        <v>6</v>
      </c>
      <c r="T174" s="3" t="str">
        <f>IF(COUNTIF($D$2:D174,D174)=1,"First","Repeat")</f>
        <v>Repeat</v>
      </c>
      <c r="U174" s="3" t="str">
        <f>IF(AND($K174=DateTime_Filter!$C$21,$N174&gt;=DateTime_Filter!$C$22),MAX(U$1:U173)+1,"")</f>
        <v/>
      </c>
    </row>
    <row r="175" spans="1:21" x14ac:dyDescent="0.35">
      <c r="A175" s="3" t="s">
        <v>325</v>
      </c>
      <c r="B175" s="4">
        <v>45654</v>
      </c>
      <c r="C175" s="3" t="s">
        <v>49</v>
      </c>
      <c r="D175" s="3" t="s">
        <v>50</v>
      </c>
      <c r="E175" s="3" t="s">
        <v>112</v>
      </c>
      <c r="F175" s="3" t="s">
        <v>113</v>
      </c>
      <c r="G175" s="3" t="s">
        <v>53</v>
      </c>
      <c r="H175" s="3">
        <v>2</v>
      </c>
      <c r="I175" s="5">
        <v>299.99</v>
      </c>
      <c r="J175" s="3" t="s">
        <v>27</v>
      </c>
      <c r="K175" s="3" t="s">
        <v>57</v>
      </c>
      <c r="L175" s="3" t="s">
        <v>29</v>
      </c>
      <c r="M175" s="4">
        <v>44771</v>
      </c>
      <c r="N175" s="5">
        <v>599.98</v>
      </c>
      <c r="O175" s="6">
        <f t="shared" si="10"/>
        <v>45627</v>
      </c>
      <c r="P175" s="4">
        <f t="shared" si="11"/>
        <v>45657</v>
      </c>
      <c r="Q175" s="3">
        <f t="shared" si="12"/>
        <v>2</v>
      </c>
      <c r="R175" s="7">
        <f t="shared" ca="1" si="13"/>
        <v>670</v>
      </c>
      <c r="S175" s="3">
        <f t="shared" si="14"/>
        <v>9</v>
      </c>
      <c r="T175" s="3" t="str">
        <f>IF(COUNTIF($D$2:D175,D175)=1,"First","Repeat")</f>
        <v>Repeat</v>
      </c>
      <c r="U175" s="3" t="str">
        <f>IF(AND($K175=DateTime_Filter!$C$21,$N175&gt;=DateTime_Filter!$C$22),MAX(U$1:U174)+1,"")</f>
        <v/>
      </c>
    </row>
    <row r="176" spans="1:21" x14ac:dyDescent="0.35">
      <c r="A176" s="3" t="s">
        <v>326</v>
      </c>
      <c r="B176" s="4">
        <v>45654</v>
      </c>
      <c r="C176" s="3" t="s">
        <v>127</v>
      </c>
      <c r="D176" s="3" t="s">
        <v>128</v>
      </c>
      <c r="E176" s="3" t="s">
        <v>130</v>
      </c>
      <c r="F176" s="3" t="s">
        <v>131</v>
      </c>
      <c r="G176" s="3" t="s">
        <v>53</v>
      </c>
      <c r="H176" s="3">
        <v>4</v>
      </c>
      <c r="I176" s="5">
        <v>199.99</v>
      </c>
      <c r="J176" s="3" t="s">
        <v>33</v>
      </c>
      <c r="K176" s="3" t="s">
        <v>28</v>
      </c>
      <c r="L176" s="3" t="s">
        <v>29</v>
      </c>
      <c r="M176" s="4">
        <v>44523</v>
      </c>
      <c r="N176" s="5">
        <v>799.96</v>
      </c>
      <c r="O176" s="6">
        <f t="shared" si="10"/>
        <v>45627</v>
      </c>
      <c r="P176" s="4">
        <f t="shared" si="11"/>
        <v>45657</v>
      </c>
      <c r="Q176" s="3">
        <f t="shared" si="12"/>
        <v>3</v>
      </c>
      <c r="R176" s="7">
        <f t="shared" ca="1" si="13"/>
        <v>670</v>
      </c>
      <c r="S176" s="3">
        <f t="shared" si="14"/>
        <v>7</v>
      </c>
      <c r="T176" s="3" t="str">
        <f>IF(COUNTIF($D$2:D176,D176)=1,"First","Repeat")</f>
        <v>Repeat</v>
      </c>
      <c r="U176" s="3" t="str">
        <f>IF(AND($K176=DateTime_Filter!$C$21,$N176&gt;=DateTime_Filter!$C$22),MAX(U$1:U175)+1,"")</f>
        <v/>
      </c>
    </row>
    <row r="177" spans="1:21" x14ac:dyDescent="0.35">
      <c r="A177" s="3" t="s">
        <v>327</v>
      </c>
      <c r="B177" s="4">
        <v>45655</v>
      </c>
      <c r="C177" s="3" t="s">
        <v>115</v>
      </c>
      <c r="D177" s="3" t="s">
        <v>116</v>
      </c>
      <c r="E177" s="3" t="s">
        <v>51</v>
      </c>
      <c r="F177" s="3" t="s">
        <v>52</v>
      </c>
      <c r="G177" s="3" t="s">
        <v>53</v>
      </c>
      <c r="H177" s="3">
        <v>5</v>
      </c>
      <c r="I177" s="5">
        <v>149.99</v>
      </c>
      <c r="J177" s="3" t="s">
        <v>27</v>
      </c>
      <c r="K177" s="3" t="s">
        <v>28</v>
      </c>
      <c r="L177" s="3" t="s">
        <v>34</v>
      </c>
      <c r="M177" s="4">
        <v>45347</v>
      </c>
      <c r="N177" s="5">
        <v>749.95</v>
      </c>
      <c r="O177" s="6">
        <f t="shared" si="10"/>
        <v>45627</v>
      </c>
      <c r="P177" s="4">
        <f t="shared" si="11"/>
        <v>45657</v>
      </c>
      <c r="Q177" s="3">
        <f t="shared" si="12"/>
        <v>0</v>
      </c>
      <c r="R177" s="7">
        <f t="shared" ca="1" si="13"/>
        <v>669</v>
      </c>
      <c r="S177" s="3">
        <f t="shared" si="14"/>
        <v>6</v>
      </c>
      <c r="T177" s="3" t="str">
        <f>IF(COUNTIF($D$2:D177,D177)=1,"First","Repeat")</f>
        <v>Repeat</v>
      </c>
      <c r="U177" s="3" t="str">
        <f>IF(AND($K177=DateTime_Filter!$C$21,$N177&gt;=DateTime_Filter!$C$22),MAX(U$1:U176)+1,"")</f>
        <v/>
      </c>
    </row>
    <row r="178" spans="1:21" x14ac:dyDescent="0.35">
      <c r="A178" s="3" t="s">
        <v>328</v>
      </c>
      <c r="B178" s="4">
        <v>45655</v>
      </c>
      <c r="C178" s="3" t="s">
        <v>66</v>
      </c>
      <c r="D178" s="3" t="s">
        <v>67</v>
      </c>
      <c r="E178" s="3" t="s">
        <v>118</v>
      </c>
      <c r="F178" s="3" t="s">
        <v>119</v>
      </c>
      <c r="G178" s="3" t="s">
        <v>26</v>
      </c>
      <c r="H178" s="3">
        <v>1</v>
      </c>
      <c r="I178" s="5">
        <v>89.99</v>
      </c>
      <c r="J178" s="3" t="s">
        <v>33</v>
      </c>
      <c r="K178" s="3" t="s">
        <v>42</v>
      </c>
      <c r="L178" s="3" t="s">
        <v>34</v>
      </c>
      <c r="M178" s="4">
        <v>44591</v>
      </c>
      <c r="N178" s="5">
        <v>89.99</v>
      </c>
      <c r="O178" s="6">
        <f t="shared" si="10"/>
        <v>45627</v>
      </c>
      <c r="P178" s="4">
        <f t="shared" si="11"/>
        <v>45657</v>
      </c>
      <c r="Q178" s="3">
        <f t="shared" si="12"/>
        <v>2</v>
      </c>
      <c r="R178" s="7">
        <f t="shared" ca="1" si="13"/>
        <v>669</v>
      </c>
      <c r="S178" s="3">
        <f t="shared" si="14"/>
        <v>5</v>
      </c>
      <c r="T178" s="3" t="str">
        <f>IF(COUNTIF($D$2:D178,D178)=1,"First","Repeat")</f>
        <v>Repeat</v>
      </c>
      <c r="U178" s="3" t="str">
        <f>IF(AND($K178=DateTime_Filter!$C$21,$N178&gt;=DateTime_Filter!$C$22),MAX(U$1:U177)+1,"")</f>
        <v/>
      </c>
    </row>
    <row r="179" spans="1:21" x14ac:dyDescent="0.35">
      <c r="A179" s="3" t="s">
        <v>329</v>
      </c>
      <c r="B179" s="4">
        <v>45657</v>
      </c>
      <c r="C179" s="3" t="s">
        <v>93</v>
      </c>
      <c r="D179" s="3" t="s">
        <v>94</v>
      </c>
      <c r="E179" s="3" t="s">
        <v>68</v>
      </c>
      <c r="F179" s="3" t="s">
        <v>69</v>
      </c>
      <c r="G179" s="3" t="s">
        <v>26</v>
      </c>
      <c r="H179" s="3">
        <v>1</v>
      </c>
      <c r="I179" s="5">
        <v>899.99</v>
      </c>
      <c r="J179" s="3" t="s">
        <v>41</v>
      </c>
      <c r="K179" s="3" t="s">
        <v>47</v>
      </c>
      <c r="L179" s="3" t="s">
        <v>34</v>
      </c>
      <c r="M179" s="4">
        <v>45050</v>
      </c>
      <c r="N179" s="5">
        <v>899.99</v>
      </c>
      <c r="O179" s="6">
        <f t="shared" si="10"/>
        <v>45627</v>
      </c>
      <c r="P179" s="4">
        <f t="shared" si="11"/>
        <v>45657</v>
      </c>
      <c r="Q179" s="3">
        <f t="shared" si="12"/>
        <v>1</v>
      </c>
      <c r="R179" s="7">
        <f t="shared" ca="1" si="13"/>
        <v>667</v>
      </c>
      <c r="S179" s="3">
        <f t="shared" si="14"/>
        <v>12</v>
      </c>
      <c r="T179" s="3" t="str">
        <f>IF(COUNTIF($D$2:D179,D179)=1,"First","Repeat")</f>
        <v>Repeat</v>
      </c>
      <c r="U179" s="3" t="str">
        <f>IF(AND($K179=DateTime_Filter!$C$21,$N179&gt;=DateTime_Filter!$C$22),MAX(U$1:U178)+1,"")</f>
        <v/>
      </c>
    </row>
    <row r="180" spans="1:21" x14ac:dyDescent="0.35">
      <c r="A180" s="3" t="s">
        <v>330</v>
      </c>
      <c r="B180" s="4">
        <v>45660</v>
      </c>
      <c r="C180" s="3" t="s">
        <v>154</v>
      </c>
      <c r="D180" s="3" t="s">
        <v>155</v>
      </c>
      <c r="E180" s="3" t="s">
        <v>118</v>
      </c>
      <c r="F180" s="3" t="s">
        <v>119</v>
      </c>
      <c r="G180" s="3" t="s">
        <v>26</v>
      </c>
      <c r="H180" s="3">
        <v>2</v>
      </c>
      <c r="I180" s="5">
        <v>89.99</v>
      </c>
      <c r="J180" s="3" t="s">
        <v>33</v>
      </c>
      <c r="K180" s="3" t="s">
        <v>42</v>
      </c>
      <c r="L180" s="3" t="s">
        <v>34</v>
      </c>
      <c r="M180" s="4">
        <v>44564</v>
      </c>
      <c r="N180" s="5">
        <v>179.98</v>
      </c>
      <c r="O180" s="6">
        <f t="shared" si="10"/>
        <v>45658</v>
      </c>
      <c r="P180" s="4">
        <f t="shared" si="11"/>
        <v>45688</v>
      </c>
      <c r="Q180" s="3">
        <f t="shared" si="12"/>
        <v>3</v>
      </c>
      <c r="R180" s="7">
        <f t="shared" ca="1" si="13"/>
        <v>664</v>
      </c>
      <c r="S180" s="3">
        <f t="shared" si="14"/>
        <v>7</v>
      </c>
      <c r="T180" s="3" t="str">
        <f>IF(COUNTIF($D$2:D180,D180)=1,"First","Repeat")</f>
        <v>Repeat</v>
      </c>
      <c r="U180" s="3" t="str">
        <f>IF(AND($K180=DateTime_Filter!$C$21,$N180&gt;=DateTime_Filter!$C$22),MAX(U$1:U179)+1,"")</f>
        <v/>
      </c>
    </row>
    <row r="181" spans="1:21" x14ac:dyDescent="0.35">
      <c r="A181" s="3" t="s">
        <v>331</v>
      </c>
      <c r="B181" s="4">
        <v>45661</v>
      </c>
      <c r="C181" s="3" t="s">
        <v>332</v>
      </c>
      <c r="D181" s="3" t="s">
        <v>333</v>
      </c>
      <c r="E181" s="3" t="s">
        <v>68</v>
      </c>
      <c r="F181" s="3" t="s">
        <v>69</v>
      </c>
      <c r="G181" s="3" t="s">
        <v>26</v>
      </c>
      <c r="H181" s="3">
        <v>1</v>
      </c>
      <c r="I181" s="5">
        <v>899.99</v>
      </c>
      <c r="J181" s="3" t="s">
        <v>41</v>
      </c>
      <c r="K181" s="3" t="s">
        <v>47</v>
      </c>
      <c r="L181" s="3" t="s">
        <v>43</v>
      </c>
      <c r="M181" s="4">
        <v>44752</v>
      </c>
      <c r="N181" s="5">
        <v>899.99</v>
      </c>
      <c r="O181" s="6">
        <f t="shared" si="10"/>
        <v>45658</v>
      </c>
      <c r="P181" s="4">
        <f t="shared" si="11"/>
        <v>45688</v>
      </c>
      <c r="Q181" s="3">
        <f t="shared" si="12"/>
        <v>2</v>
      </c>
      <c r="R181" s="7">
        <f t="shared" ca="1" si="13"/>
        <v>663</v>
      </c>
      <c r="S181" s="3">
        <f t="shared" si="14"/>
        <v>3</v>
      </c>
      <c r="T181" s="3" t="str">
        <f>IF(COUNTIF($D$2:D181,D181)=1,"First","Repeat")</f>
        <v>First</v>
      </c>
      <c r="U181" s="3" t="str">
        <f>IF(AND($K181=DateTime_Filter!$C$21,$N181&gt;=DateTime_Filter!$C$22),MAX(U$1:U180)+1,"")</f>
        <v/>
      </c>
    </row>
    <row r="182" spans="1:21" x14ac:dyDescent="0.35">
      <c r="A182" s="3" t="s">
        <v>334</v>
      </c>
      <c r="B182" s="4">
        <v>45663</v>
      </c>
      <c r="C182" s="3" t="s">
        <v>49</v>
      </c>
      <c r="D182" s="3" t="s">
        <v>50</v>
      </c>
      <c r="E182" s="3" t="s">
        <v>112</v>
      </c>
      <c r="F182" s="3" t="s">
        <v>113</v>
      </c>
      <c r="G182" s="3" t="s">
        <v>53</v>
      </c>
      <c r="H182" s="3">
        <v>3</v>
      </c>
      <c r="I182" s="5">
        <v>299.99</v>
      </c>
      <c r="J182" s="3" t="s">
        <v>27</v>
      </c>
      <c r="K182" s="3" t="s">
        <v>42</v>
      </c>
      <c r="L182" s="3" t="s">
        <v>43</v>
      </c>
      <c r="M182" s="4">
        <v>44422</v>
      </c>
      <c r="N182" s="5">
        <v>899.97</v>
      </c>
      <c r="O182" s="6">
        <f t="shared" si="10"/>
        <v>45658</v>
      </c>
      <c r="P182" s="4">
        <f t="shared" si="11"/>
        <v>45688</v>
      </c>
      <c r="Q182" s="3">
        <f t="shared" si="12"/>
        <v>3</v>
      </c>
      <c r="R182" s="7">
        <f t="shared" ca="1" si="13"/>
        <v>661</v>
      </c>
      <c r="S182" s="3">
        <f t="shared" si="14"/>
        <v>9</v>
      </c>
      <c r="T182" s="3" t="str">
        <f>IF(COUNTIF($D$2:D182,D182)=1,"First","Repeat")</f>
        <v>Repeat</v>
      </c>
      <c r="U182" s="3" t="str">
        <f>IF(AND($K182=DateTime_Filter!$C$21,$N182&gt;=DateTime_Filter!$C$22),MAX(U$1:U181)+1,"")</f>
        <v/>
      </c>
    </row>
    <row r="183" spans="1:21" x14ac:dyDescent="0.35">
      <c r="A183" s="3" t="s">
        <v>335</v>
      </c>
      <c r="B183" s="4">
        <v>45663</v>
      </c>
      <c r="C183" s="3" t="s">
        <v>136</v>
      </c>
      <c r="D183" s="3" t="s">
        <v>137</v>
      </c>
      <c r="E183" s="3" t="s">
        <v>59</v>
      </c>
      <c r="F183" s="3" t="s">
        <v>60</v>
      </c>
      <c r="G183" s="3" t="s">
        <v>26</v>
      </c>
      <c r="H183" s="3">
        <v>5</v>
      </c>
      <c r="I183" s="5">
        <v>149.99</v>
      </c>
      <c r="J183" s="3" t="s">
        <v>41</v>
      </c>
      <c r="K183" s="3" t="s">
        <v>70</v>
      </c>
      <c r="L183" s="3" t="s">
        <v>34</v>
      </c>
      <c r="M183" s="4">
        <v>44824</v>
      </c>
      <c r="N183" s="5">
        <v>749.95</v>
      </c>
      <c r="O183" s="6">
        <f t="shared" si="10"/>
        <v>45658</v>
      </c>
      <c r="P183" s="4">
        <f t="shared" si="11"/>
        <v>45688</v>
      </c>
      <c r="Q183" s="3">
        <f t="shared" si="12"/>
        <v>2</v>
      </c>
      <c r="R183" s="7">
        <f t="shared" ca="1" si="13"/>
        <v>661</v>
      </c>
      <c r="S183" s="3">
        <f t="shared" si="14"/>
        <v>5</v>
      </c>
      <c r="T183" s="3" t="str">
        <f>IF(COUNTIF($D$2:D183,D183)=1,"First","Repeat")</f>
        <v>Repeat</v>
      </c>
      <c r="U183" s="3" t="str">
        <f>IF(AND($K183=DateTime_Filter!$C$21,$N183&gt;=DateTime_Filter!$C$22),MAX(U$1:U182)+1,"")</f>
        <v/>
      </c>
    </row>
    <row r="184" spans="1:21" x14ac:dyDescent="0.35">
      <c r="A184" s="3" t="s">
        <v>336</v>
      </c>
      <c r="B184" s="4">
        <v>45666</v>
      </c>
      <c r="C184" s="3" t="s">
        <v>75</v>
      </c>
      <c r="D184" s="3" t="s">
        <v>76</v>
      </c>
      <c r="E184" s="3" t="s">
        <v>87</v>
      </c>
      <c r="F184" s="3" t="s">
        <v>88</v>
      </c>
      <c r="G184" s="3" t="s">
        <v>26</v>
      </c>
      <c r="H184" s="3">
        <v>3</v>
      </c>
      <c r="I184" s="5">
        <v>699.99</v>
      </c>
      <c r="J184" s="3" t="s">
        <v>33</v>
      </c>
      <c r="K184" s="3" t="s">
        <v>28</v>
      </c>
      <c r="L184" s="3" t="s">
        <v>34</v>
      </c>
      <c r="M184" s="4">
        <v>45105</v>
      </c>
      <c r="N184" s="5">
        <v>2099.9699999999998</v>
      </c>
      <c r="O184" s="6">
        <f t="shared" si="10"/>
        <v>45658</v>
      </c>
      <c r="P184" s="4">
        <f t="shared" si="11"/>
        <v>45688</v>
      </c>
      <c r="Q184" s="3">
        <f t="shared" si="12"/>
        <v>1</v>
      </c>
      <c r="R184" s="7">
        <f t="shared" ca="1" si="13"/>
        <v>658</v>
      </c>
      <c r="S184" s="3">
        <f t="shared" si="14"/>
        <v>8</v>
      </c>
      <c r="T184" s="3" t="str">
        <f>IF(COUNTIF($D$2:D184,D184)=1,"First","Repeat")</f>
        <v>Repeat</v>
      </c>
      <c r="U184" s="3" t="str">
        <f>IF(AND($K184=DateTime_Filter!$C$21,$N184&gt;=DateTime_Filter!$C$22),MAX(U$1:U183)+1,"")</f>
        <v/>
      </c>
    </row>
    <row r="185" spans="1:21" x14ac:dyDescent="0.35">
      <c r="A185" s="3" t="s">
        <v>337</v>
      </c>
      <c r="B185" s="4">
        <v>45667</v>
      </c>
      <c r="C185" s="3" t="s">
        <v>115</v>
      </c>
      <c r="D185" s="3" t="s">
        <v>116</v>
      </c>
      <c r="E185" s="3" t="s">
        <v>130</v>
      </c>
      <c r="F185" s="3" t="s">
        <v>131</v>
      </c>
      <c r="G185" s="3" t="s">
        <v>53</v>
      </c>
      <c r="H185" s="3">
        <v>5</v>
      </c>
      <c r="I185" s="5">
        <v>199.99</v>
      </c>
      <c r="J185" s="3" t="s">
        <v>41</v>
      </c>
      <c r="K185" s="3" t="s">
        <v>28</v>
      </c>
      <c r="L185" s="3" t="s">
        <v>43</v>
      </c>
      <c r="M185" s="4">
        <v>44633</v>
      </c>
      <c r="N185" s="5">
        <v>999.95</v>
      </c>
      <c r="O185" s="6">
        <f t="shared" si="10"/>
        <v>45658</v>
      </c>
      <c r="P185" s="4">
        <f t="shared" si="11"/>
        <v>45688</v>
      </c>
      <c r="Q185" s="3">
        <f t="shared" si="12"/>
        <v>2</v>
      </c>
      <c r="R185" s="7">
        <f t="shared" ca="1" si="13"/>
        <v>657</v>
      </c>
      <c r="S185" s="3">
        <f t="shared" si="14"/>
        <v>6</v>
      </c>
      <c r="T185" s="3" t="str">
        <f>IF(COUNTIF($D$2:D185,D185)=1,"First","Repeat")</f>
        <v>Repeat</v>
      </c>
      <c r="U185" s="3" t="str">
        <f>IF(AND($K185=DateTime_Filter!$C$21,$N185&gt;=DateTime_Filter!$C$22),MAX(U$1:U184)+1,"")</f>
        <v/>
      </c>
    </row>
    <row r="186" spans="1:21" x14ac:dyDescent="0.35">
      <c r="A186" s="3" t="s">
        <v>338</v>
      </c>
      <c r="B186" s="4">
        <v>45667</v>
      </c>
      <c r="C186" s="3" t="s">
        <v>100</v>
      </c>
      <c r="D186" s="3" t="s">
        <v>101</v>
      </c>
      <c r="E186" s="3" t="s">
        <v>24</v>
      </c>
      <c r="F186" s="3" t="s">
        <v>25</v>
      </c>
      <c r="G186" s="3" t="s">
        <v>26</v>
      </c>
      <c r="H186" s="3">
        <v>5</v>
      </c>
      <c r="I186" s="5">
        <v>249.99</v>
      </c>
      <c r="J186" s="3" t="s">
        <v>33</v>
      </c>
      <c r="K186" s="3" t="s">
        <v>42</v>
      </c>
      <c r="L186" s="3" t="s">
        <v>29</v>
      </c>
      <c r="M186" s="4">
        <v>45330</v>
      </c>
      <c r="N186" s="5">
        <v>1249.95</v>
      </c>
      <c r="O186" s="6">
        <f t="shared" si="10"/>
        <v>45658</v>
      </c>
      <c r="P186" s="4">
        <f t="shared" si="11"/>
        <v>45688</v>
      </c>
      <c r="Q186" s="3">
        <f t="shared" si="12"/>
        <v>0</v>
      </c>
      <c r="R186" s="7">
        <f t="shared" ca="1" si="13"/>
        <v>657</v>
      </c>
      <c r="S186" s="3">
        <f t="shared" si="14"/>
        <v>6</v>
      </c>
      <c r="T186" s="3" t="str">
        <f>IF(COUNTIF($D$2:D186,D186)=1,"First","Repeat")</f>
        <v>Repeat</v>
      </c>
      <c r="U186" s="3" t="str">
        <f>IF(AND($K186=DateTime_Filter!$C$21,$N186&gt;=DateTime_Filter!$C$22),MAX(U$1:U185)+1,"")</f>
        <v/>
      </c>
    </row>
    <row r="187" spans="1:21" x14ac:dyDescent="0.35">
      <c r="A187" s="3" t="s">
        <v>339</v>
      </c>
      <c r="B187" s="4">
        <v>45668</v>
      </c>
      <c r="C187" s="3" t="s">
        <v>145</v>
      </c>
      <c r="D187" s="3" t="s">
        <v>146</v>
      </c>
      <c r="E187" s="3" t="s">
        <v>59</v>
      </c>
      <c r="F187" s="3" t="s">
        <v>60</v>
      </c>
      <c r="G187" s="3" t="s">
        <v>26</v>
      </c>
      <c r="H187" s="3">
        <v>4</v>
      </c>
      <c r="I187" s="5">
        <v>149.99</v>
      </c>
      <c r="J187" s="3" t="s">
        <v>64</v>
      </c>
      <c r="K187" s="3" t="s">
        <v>70</v>
      </c>
      <c r="L187" s="3" t="s">
        <v>43</v>
      </c>
      <c r="M187" s="4">
        <v>44536</v>
      </c>
      <c r="N187" s="5">
        <v>599.96</v>
      </c>
      <c r="O187" s="6">
        <f t="shared" si="10"/>
        <v>45658</v>
      </c>
      <c r="P187" s="4">
        <f t="shared" si="11"/>
        <v>45688</v>
      </c>
      <c r="Q187" s="3">
        <f t="shared" si="12"/>
        <v>3</v>
      </c>
      <c r="R187" s="7">
        <f t="shared" ca="1" si="13"/>
        <v>656</v>
      </c>
      <c r="S187" s="3">
        <f t="shared" si="14"/>
        <v>6</v>
      </c>
      <c r="T187" s="3" t="str">
        <f>IF(COUNTIF($D$2:D187,D187)=1,"First","Repeat")</f>
        <v>Repeat</v>
      </c>
      <c r="U187" s="3" t="str">
        <f>IF(AND($K187=DateTime_Filter!$C$21,$N187&gt;=DateTime_Filter!$C$22),MAX(U$1:U186)+1,"")</f>
        <v/>
      </c>
    </row>
    <row r="188" spans="1:21" x14ac:dyDescent="0.35">
      <c r="A188" s="3" t="s">
        <v>340</v>
      </c>
      <c r="B188" s="4">
        <v>45668</v>
      </c>
      <c r="C188" s="3" t="s">
        <v>85</v>
      </c>
      <c r="D188" s="3" t="s">
        <v>86</v>
      </c>
      <c r="E188" s="3" t="s">
        <v>87</v>
      </c>
      <c r="F188" s="3" t="s">
        <v>88</v>
      </c>
      <c r="G188" s="3" t="s">
        <v>26</v>
      </c>
      <c r="H188" s="3">
        <v>3</v>
      </c>
      <c r="I188" s="5">
        <v>699.99</v>
      </c>
      <c r="J188" s="3" t="s">
        <v>27</v>
      </c>
      <c r="K188" s="3" t="s">
        <v>47</v>
      </c>
      <c r="L188" s="3" t="s">
        <v>34</v>
      </c>
      <c r="M188" s="4">
        <v>44602</v>
      </c>
      <c r="N188" s="5">
        <v>2099.9699999999998</v>
      </c>
      <c r="O188" s="6">
        <f t="shared" si="10"/>
        <v>45658</v>
      </c>
      <c r="P188" s="4">
        <f t="shared" si="11"/>
        <v>45688</v>
      </c>
      <c r="Q188" s="3">
        <f t="shared" si="12"/>
        <v>2</v>
      </c>
      <c r="R188" s="7">
        <f t="shared" ca="1" si="13"/>
        <v>656</v>
      </c>
      <c r="S188" s="3">
        <f t="shared" si="14"/>
        <v>2</v>
      </c>
      <c r="T188" s="3" t="str">
        <f>IF(COUNTIF($D$2:D188,D188)=1,"First","Repeat")</f>
        <v>Repeat</v>
      </c>
      <c r="U188" s="3">
        <f>IF(AND($K188=DateTime_Filter!$C$21,$N188&gt;=DateTime_Filter!$C$22),MAX(U$1:U187)+1,"")</f>
        <v>10</v>
      </c>
    </row>
    <row r="189" spans="1:21" x14ac:dyDescent="0.35">
      <c r="A189" s="3" t="s">
        <v>341</v>
      </c>
      <c r="B189" s="4">
        <v>45670</v>
      </c>
      <c r="C189" s="3" t="s">
        <v>93</v>
      </c>
      <c r="D189" s="3" t="s">
        <v>94</v>
      </c>
      <c r="E189" s="3" t="s">
        <v>112</v>
      </c>
      <c r="F189" s="3" t="s">
        <v>113</v>
      </c>
      <c r="G189" s="3" t="s">
        <v>53</v>
      </c>
      <c r="H189" s="3">
        <v>1</v>
      </c>
      <c r="I189" s="5">
        <v>299.99</v>
      </c>
      <c r="J189" s="3" t="s">
        <v>33</v>
      </c>
      <c r="K189" s="3" t="s">
        <v>47</v>
      </c>
      <c r="L189" s="3" t="s">
        <v>29</v>
      </c>
      <c r="M189" s="4">
        <v>44436</v>
      </c>
      <c r="N189" s="5">
        <v>299.99</v>
      </c>
      <c r="O189" s="6">
        <f t="shared" si="10"/>
        <v>45658</v>
      </c>
      <c r="P189" s="4">
        <f t="shared" si="11"/>
        <v>45688</v>
      </c>
      <c r="Q189" s="3">
        <f t="shared" si="12"/>
        <v>3</v>
      </c>
      <c r="R189" s="7">
        <f t="shared" ca="1" si="13"/>
        <v>654</v>
      </c>
      <c r="S189" s="3">
        <f t="shared" si="14"/>
        <v>12</v>
      </c>
      <c r="T189" s="3" t="str">
        <f>IF(COUNTIF($D$2:D189,D189)=1,"First","Repeat")</f>
        <v>Repeat</v>
      </c>
      <c r="U189" s="3" t="str">
        <f>IF(AND($K189=DateTime_Filter!$C$21,$N189&gt;=DateTime_Filter!$C$22),MAX(U$1:U188)+1,"")</f>
        <v/>
      </c>
    </row>
    <row r="190" spans="1:21" x14ac:dyDescent="0.35">
      <c r="A190" s="3" t="s">
        <v>342</v>
      </c>
      <c r="B190" s="4">
        <v>45670</v>
      </c>
      <c r="C190" s="3" t="s">
        <v>300</v>
      </c>
      <c r="D190" s="3" t="s">
        <v>301</v>
      </c>
      <c r="E190" s="3" t="s">
        <v>124</v>
      </c>
      <c r="F190" s="3" t="s">
        <v>125</v>
      </c>
      <c r="G190" s="3" t="s">
        <v>40</v>
      </c>
      <c r="H190" s="3">
        <v>1</v>
      </c>
      <c r="I190" s="5">
        <v>79.989999999999995</v>
      </c>
      <c r="J190" s="3" t="s">
        <v>33</v>
      </c>
      <c r="K190" s="3" t="s">
        <v>42</v>
      </c>
      <c r="L190" s="3" t="s">
        <v>29</v>
      </c>
      <c r="M190" s="4">
        <v>45322</v>
      </c>
      <c r="N190" s="5">
        <v>79.989999999999995</v>
      </c>
      <c r="O190" s="6">
        <f t="shared" si="10"/>
        <v>45658</v>
      </c>
      <c r="P190" s="4">
        <f t="shared" si="11"/>
        <v>45688</v>
      </c>
      <c r="Q190" s="3">
        <f t="shared" si="12"/>
        <v>0</v>
      </c>
      <c r="R190" s="7">
        <f t="shared" ca="1" si="13"/>
        <v>654</v>
      </c>
      <c r="S190" s="3">
        <f t="shared" si="14"/>
        <v>4</v>
      </c>
      <c r="T190" s="3" t="str">
        <f>IF(COUNTIF($D$2:D190,D190)=1,"First","Repeat")</f>
        <v>Repeat</v>
      </c>
      <c r="U190" s="3" t="str">
        <f>IF(AND($K190=DateTime_Filter!$C$21,$N190&gt;=DateTime_Filter!$C$22),MAX(U$1:U189)+1,"")</f>
        <v/>
      </c>
    </row>
    <row r="191" spans="1:21" x14ac:dyDescent="0.35">
      <c r="A191" s="3" t="s">
        <v>343</v>
      </c>
      <c r="B191" s="4">
        <v>45671</v>
      </c>
      <c r="C191" s="3" t="s">
        <v>241</v>
      </c>
      <c r="D191" s="3" t="s">
        <v>242</v>
      </c>
      <c r="E191" s="3" t="s">
        <v>112</v>
      </c>
      <c r="F191" s="3" t="s">
        <v>113</v>
      </c>
      <c r="G191" s="3" t="s">
        <v>53</v>
      </c>
      <c r="H191" s="3">
        <v>3</v>
      </c>
      <c r="I191" s="5">
        <v>299.99</v>
      </c>
      <c r="J191" s="3" t="s">
        <v>33</v>
      </c>
      <c r="K191" s="3" t="s">
        <v>42</v>
      </c>
      <c r="L191" s="3" t="s">
        <v>29</v>
      </c>
      <c r="M191" s="4">
        <v>45204</v>
      </c>
      <c r="N191" s="5">
        <v>899.97</v>
      </c>
      <c r="O191" s="6">
        <f t="shared" si="10"/>
        <v>45658</v>
      </c>
      <c r="P191" s="4">
        <f t="shared" si="11"/>
        <v>45688</v>
      </c>
      <c r="Q191" s="3">
        <f t="shared" si="12"/>
        <v>1</v>
      </c>
      <c r="R191" s="7">
        <f t="shared" ca="1" si="13"/>
        <v>653</v>
      </c>
      <c r="S191" s="3">
        <f t="shared" si="14"/>
        <v>5</v>
      </c>
      <c r="T191" s="3" t="str">
        <f>IF(COUNTIF($D$2:D191,D191)=1,"First","Repeat")</f>
        <v>Repeat</v>
      </c>
      <c r="U191" s="3" t="str">
        <f>IF(AND($K191=DateTime_Filter!$C$21,$N191&gt;=DateTime_Filter!$C$22),MAX(U$1:U190)+1,"")</f>
        <v/>
      </c>
    </row>
    <row r="192" spans="1:21" x14ac:dyDescent="0.35">
      <c r="A192" s="3" t="s">
        <v>344</v>
      </c>
      <c r="B192" s="4">
        <v>45671</v>
      </c>
      <c r="C192" s="3" t="s">
        <v>164</v>
      </c>
      <c r="D192" s="3" t="s">
        <v>165</v>
      </c>
      <c r="E192" s="3" t="s">
        <v>24</v>
      </c>
      <c r="F192" s="3" t="s">
        <v>25</v>
      </c>
      <c r="G192" s="3" t="s">
        <v>26</v>
      </c>
      <c r="H192" s="3">
        <v>4</v>
      </c>
      <c r="I192" s="5">
        <v>249.99</v>
      </c>
      <c r="J192" s="3" t="s">
        <v>33</v>
      </c>
      <c r="K192" s="3" t="s">
        <v>47</v>
      </c>
      <c r="L192" s="3" t="s">
        <v>34</v>
      </c>
      <c r="M192" s="4">
        <v>44460</v>
      </c>
      <c r="N192" s="5">
        <v>999.96</v>
      </c>
      <c r="O192" s="6">
        <f t="shared" si="10"/>
        <v>45658</v>
      </c>
      <c r="P192" s="4">
        <f t="shared" si="11"/>
        <v>45688</v>
      </c>
      <c r="Q192" s="3">
        <f t="shared" si="12"/>
        <v>3</v>
      </c>
      <c r="R192" s="7">
        <f t="shared" ca="1" si="13"/>
        <v>653</v>
      </c>
      <c r="S192" s="3">
        <f t="shared" si="14"/>
        <v>5</v>
      </c>
      <c r="T192" s="3" t="str">
        <f>IF(COUNTIF($D$2:D192,D192)=1,"First","Repeat")</f>
        <v>Repeat</v>
      </c>
      <c r="U192" s="3" t="str">
        <f>IF(AND($K192=DateTime_Filter!$C$21,$N192&gt;=DateTime_Filter!$C$22),MAX(U$1:U191)+1,"")</f>
        <v/>
      </c>
    </row>
    <row r="193" spans="1:21" x14ac:dyDescent="0.35">
      <c r="A193" s="3" t="s">
        <v>345</v>
      </c>
      <c r="B193" s="4">
        <v>45671</v>
      </c>
      <c r="C193" s="3" t="s">
        <v>127</v>
      </c>
      <c r="D193" s="3" t="s">
        <v>128</v>
      </c>
      <c r="E193" s="3" t="s">
        <v>59</v>
      </c>
      <c r="F193" s="3" t="s">
        <v>60</v>
      </c>
      <c r="G193" s="3" t="s">
        <v>26</v>
      </c>
      <c r="H193" s="3">
        <v>2</v>
      </c>
      <c r="I193" s="5">
        <v>149.99</v>
      </c>
      <c r="J193" s="3" t="s">
        <v>27</v>
      </c>
      <c r="K193" s="3" t="s">
        <v>47</v>
      </c>
      <c r="L193" s="3" t="s">
        <v>43</v>
      </c>
      <c r="M193" s="4">
        <v>44913</v>
      </c>
      <c r="N193" s="5">
        <v>299.98</v>
      </c>
      <c r="O193" s="6">
        <f t="shared" si="10"/>
        <v>45658</v>
      </c>
      <c r="P193" s="4">
        <f t="shared" si="11"/>
        <v>45688</v>
      </c>
      <c r="Q193" s="3">
        <f t="shared" si="12"/>
        <v>2</v>
      </c>
      <c r="R193" s="7">
        <f t="shared" ca="1" si="13"/>
        <v>653</v>
      </c>
      <c r="S193" s="3">
        <f t="shared" si="14"/>
        <v>7</v>
      </c>
      <c r="T193" s="3" t="str">
        <f>IF(COUNTIF($D$2:D193,D193)=1,"First","Repeat")</f>
        <v>Repeat</v>
      </c>
      <c r="U193" s="3" t="str">
        <f>IF(AND($K193=DateTime_Filter!$C$21,$N193&gt;=DateTime_Filter!$C$22),MAX(U$1:U192)+1,"")</f>
        <v/>
      </c>
    </row>
    <row r="194" spans="1:21" x14ac:dyDescent="0.35">
      <c r="A194" s="3" t="s">
        <v>346</v>
      </c>
      <c r="B194" s="4">
        <v>45673</v>
      </c>
      <c r="C194" s="3" t="s">
        <v>218</v>
      </c>
      <c r="D194" s="3" t="s">
        <v>219</v>
      </c>
      <c r="E194" s="3" t="s">
        <v>112</v>
      </c>
      <c r="F194" s="3" t="s">
        <v>113</v>
      </c>
      <c r="G194" s="3" t="s">
        <v>53</v>
      </c>
      <c r="H194" s="3">
        <v>5</v>
      </c>
      <c r="I194" s="5">
        <v>299.99</v>
      </c>
      <c r="J194" s="3" t="s">
        <v>64</v>
      </c>
      <c r="K194" s="3" t="s">
        <v>28</v>
      </c>
      <c r="L194" s="3" t="s">
        <v>29</v>
      </c>
      <c r="M194" s="4">
        <v>44431</v>
      </c>
      <c r="N194" s="5">
        <v>1499.95</v>
      </c>
      <c r="O194" s="6">
        <f t="shared" ref="O194:O251" si="15">EOMONTH(B194,-1)+1</f>
        <v>45658</v>
      </c>
      <c r="P194" s="4">
        <f t="shared" ref="P194:P251" si="16">EOMONTH(B194,0)</f>
        <v>45688</v>
      </c>
      <c r="Q194" s="3">
        <f t="shared" ref="Q194:Q251" si="17">IFERROR(DATEDIF(M194,B194,"Y"),0)</f>
        <v>3</v>
      </c>
      <c r="R194" s="7">
        <f t="shared" ref="R194:R251" ca="1" si="18">TODAY()-B194</f>
        <v>651</v>
      </c>
      <c r="S194" s="3">
        <f t="shared" ref="S194:S251" si="19">COUNTIF($D$2:$D$251,D194)</f>
        <v>4</v>
      </c>
      <c r="T194" s="3" t="str">
        <f>IF(COUNTIF($D$2:D194,D194)=1,"First","Repeat")</f>
        <v>Repeat</v>
      </c>
      <c r="U194" s="3" t="str">
        <f>IF(AND($K194=DateTime_Filter!$C$21,$N194&gt;=DateTime_Filter!$C$22),MAX(U$1:U193)+1,"")</f>
        <v/>
      </c>
    </row>
    <row r="195" spans="1:21" x14ac:dyDescent="0.35">
      <c r="A195" s="3" t="s">
        <v>347</v>
      </c>
      <c r="B195" s="4">
        <v>45673</v>
      </c>
      <c r="C195" s="3" t="s">
        <v>66</v>
      </c>
      <c r="D195" s="3" t="s">
        <v>67</v>
      </c>
      <c r="E195" s="3" t="s">
        <v>51</v>
      </c>
      <c r="F195" s="3" t="s">
        <v>52</v>
      </c>
      <c r="G195" s="3" t="s">
        <v>53</v>
      </c>
      <c r="H195" s="3">
        <v>3</v>
      </c>
      <c r="I195" s="5">
        <v>149.99</v>
      </c>
      <c r="J195" s="3" t="s">
        <v>33</v>
      </c>
      <c r="K195" s="3" t="s">
        <v>70</v>
      </c>
      <c r="L195" s="3" t="s">
        <v>43</v>
      </c>
      <c r="M195" s="4">
        <v>44395</v>
      </c>
      <c r="N195" s="5">
        <v>449.97</v>
      </c>
      <c r="O195" s="6">
        <f t="shared" si="15"/>
        <v>45658</v>
      </c>
      <c r="P195" s="4">
        <f t="shared" si="16"/>
        <v>45688</v>
      </c>
      <c r="Q195" s="3">
        <f t="shared" si="17"/>
        <v>3</v>
      </c>
      <c r="R195" s="7">
        <f t="shared" ca="1" si="18"/>
        <v>651</v>
      </c>
      <c r="S195" s="3">
        <f t="shared" si="19"/>
        <v>5</v>
      </c>
      <c r="T195" s="3" t="str">
        <f>IF(COUNTIF($D$2:D195,D195)=1,"First","Repeat")</f>
        <v>Repeat</v>
      </c>
      <c r="U195" s="3" t="str">
        <f>IF(AND($K195=DateTime_Filter!$C$21,$N195&gt;=DateTime_Filter!$C$22),MAX(U$1:U194)+1,"")</f>
        <v/>
      </c>
    </row>
    <row r="196" spans="1:21" x14ac:dyDescent="0.35">
      <c r="A196" s="3" t="s">
        <v>348</v>
      </c>
      <c r="B196" s="4">
        <v>45673</v>
      </c>
      <c r="C196" s="3" t="s">
        <v>233</v>
      </c>
      <c r="D196" s="3" t="s">
        <v>234</v>
      </c>
      <c r="E196" s="3" t="s">
        <v>130</v>
      </c>
      <c r="F196" s="3" t="s">
        <v>131</v>
      </c>
      <c r="G196" s="3" t="s">
        <v>53</v>
      </c>
      <c r="H196" s="3">
        <v>4</v>
      </c>
      <c r="I196" s="5">
        <v>199.99</v>
      </c>
      <c r="J196" s="3" t="s">
        <v>64</v>
      </c>
      <c r="K196" s="3" t="s">
        <v>42</v>
      </c>
      <c r="L196" s="3" t="s">
        <v>43</v>
      </c>
      <c r="M196" s="4">
        <v>44544</v>
      </c>
      <c r="N196" s="5">
        <v>799.96</v>
      </c>
      <c r="O196" s="6">
        <f t="shared" si="15"/>
        <v>45658</v>
      </c>
      <c r="P196" s="4">
        <f t="shared" si="16"/>
        <v>45688</v>
      </c>
      <c r="Q196" s="3">
        <f t="shared" si="17"/>
        <v>3</v>
      </c>
      <c r="R196" s="7">
        <f t="shared" ca="1" si="18"/>
        <v>651</v>
      </c>
      <c r="S196" s="3">
        <f t="shared" si="19"/>
        <v>8</v>
      </c>
      <c r="T196" s="3" t="str">
        <f>IF(COUNTIF($D$2:D196,D196)=1,"First","Repeat")</f>
        <v>Repeat</v>
      </c>
      <c r="U196" s="3" t="str">
        <f>IF(AND($K196=DateTime_Filter!$C$21,$N196&gt;=DateTime_Filter!$C$22),MAX(U$1:U195)+1,"")</f>
        <v/>
      </c>
    </row>
    <row r="197" spans="1:21" x14ac:dyDescent="0.35">
      <c r="A197" s="3" t="s">
        <v>349</v>
      </c>
      <c r="B197" s="4">
        <v>45676</v>
      </c>
      <c r="C197" s="3" t="s">
        <v>136</v>
      </c>
      <c r="D197" s="3" t="s">
        <v>137</v>
      </c>
      <c r="E197" s="3" t="s">
        <v>38</v>
      </c>
      <c r="F197" s="3" t="s">
        <v>39</v>
      </c>
      <c r="G197" s="3" t="s">
        <v>40</v>
      </c>
      <c r="H197" s="3">
        <v>5</v>
      </c>
      <c r="I197" s="5">
        <v>59.99</v>
      </c>
      <c r="J197" s="3" t="s">
        <v>64</v>
      </c>
      <c r="K197" s="3" t="s">
        <v>70</v>
      </c>
      <c r="L197" s="3" t="s">
        <v>29</v>
      </c>
      <c r="M197" s="4">
        <v>44642</v>
      </c>
      <c r="N197" s="5">
        <v>299.95</v>
      </c>
      <c r="O197" s="6">
        <f t="shared" si="15"/>
        <v>45658</v>
      </c>
      <c r="P197" s="4">
        <f t="shared" si="16"/>
        <v>45688</v>
      </c>
      <c r="Q197" s="3">
        <f t="shared" si="17"/>
        <v>2</v>
      </c>
      <c r="R197" s="7">
        <f t="shared" ca="1" si="18"/>
        <v>648</v>
      </c>
      <c r="S197" s="3">
        <f t="shared" si="19"/>
        <v>5</v>
      </c>
      <c r="T197" s="3" t="str">
        <f>IF(COUNTIF($D$2:D197,D197)=1,"First","Repeat")</f>
        <v>Repeat</v>
      </c>
      <c r="U197" s="3" t="str">
        <f>IF(AND($K197=DateTime_Filter!$C$21,$N197&gt;=DateTime_Filter!$C$22),MAX(U$1:U196)+1,"")</f>
        <v/>
      </c>
    </row>
    <row r="198" spans="1:21" x14ac:dyDescent="0.35">
      <c r="A198" s="3" t="s">
        <v>350</v>
      </c>
      <c r="B198" s="4">
        <v>45682</v>
      </c>
      <c r="C198" s="3" t="s">
        <v>72</v>
      </c>
      <c r="D198" s="3" t="s">
        <v>73</v>
      </c>
      <c r="E198" s="3" t="s">
        <v>38</v>
      </c>
      <c r="F198" s="3" t="s">
        <v>39</v>
      </c>
      <c r="G198" s="3" t="s">
        <v>40</v>
      </c>
      <c r="H198" s="3">
        <v>4</v>
      </c>
      <c r="I198" s="5">
        <v>59.99</v>
      </c>
      <c r="J198" s="3" t="s">
        <v>64</v>
      </c>
      <c r="K198" s="3" t="s">
        <v>70</v>
      </c>
      <c r="L198" s="3" t="s">
        <v>43</v>
      </c>
      <c r="M198" s="4">
        <v>44564</v>
      </c>
      <c r="N198" s="5">
        <v>239.96</v>
      </c>
      <c r="O198" s="6">
        <f t="shared" si="15"/>
        <v>45658</v>
      </c>
      <c r="P198" s="4">
        <f t="shared" si="16"/>
        <v>45688</v>
      </c>
      <c r="Q198" s="3">
        <f t="shared" si="17"/>
        <v>3</v>
      </c>
      <c r="R198" s="7">
        <f t="shared" ca="1" si="18"/>
        <v>642</v>
      </c>
      <c r="S198" s="3">
        <f t="shared" si="19"/>
        <v>4</v>
      </c>
      <c r="T198" s="3" t="str">
        <f>IF(COUNTIF($D$2:D198,D198)=1,"First","Repeat")</f>
        <v>Repeat</v>
      </c>
      <c r="U198" s="3" t="str">
        <f>IF(AND($K198=DateTime_Filter!$C$21,$N198&gt;=DateTime_Filter!$C$22),MAX(U$1:U197)+1,"")</f>
        <v/>
      </c>
    </row>
    <row r="199" spans="1:21" x14ac:dyDescent="0.35">
      <c r="A199" s="3" t="s">
        <v>351</v>
      </c>
      <c r="B199" s="4">
        <v>45683</v>
      </c>
      <c r="C199" s="3" t="s">
        <v>55</v>
      </c>
      <c r="D199" s="3" t="s">
        <v>56</v>
      </c>
      <c r="E199" s="3" t="s">
        <v>24</v>
      </c>
      <c r="F199" s="3" t="s">
        <v>25</v>
      </c>
      <c r="G199" s="3" t="s">
        <v>26</v>
      </c>
      <c r="H199" s="3">
        <v>4</v>
      </c>
      <c r="I199" s="5">
        <v>249.99</v>
      </c>
      <c r="J199" s="3" t="s">
        <v>64</v>
      </c>
      <c r="K199" s="3" t="s">
        <v>28</v>
      </c>
      <c r="L199" s="3" t="s">
        <v>34</v>
      </c>
      <c r="M199" s="4">
        <v>45217</v>
      </c>
      <c r="N199" s="5">
        <v>999.96</v>
      </c>
      <c r="O199" s="6">
        <f t="shared" si="15"/>
        <v>45658</v>
      </c>
      <c r="P199" s="4">
        <f t="shared" si="16"/>
        <v>45688</v>
      </c>
      <c r="Q199" s="3">
        <f t="shared" si="17"/>
        <v>1</v>
      </c>
      <c r="R199" s="7">
        <f t="shared" ca="1" si="18"/>
        <v>641</v>
      </c>
      <c r="S199" s="3">
        <f t="shared" si="19"/>
        <v>6</v>
      </c>
      <c r="T199" s="3" t="str">
        <f>IF(COUNTIF($D$2:D199,D199)=1,"First","Repeat")</f>
        <v>Repeat</v>
      </c>
      <c r="U199" s="3" t="str">
        <f>IF(AND($K199=DateTime_Filter!$C$21,$N199&gt;=DateTime_Filter!$C$22),MAX(U$1:U198)+1,"")</f>
        <v/>
      </c>
    </row>
    <row r="200" spans="1:21" x14ac:dyDescent="0.35">
      <c r="A200" s="3" t="s">
        <v>352</v>
      </c>
      <c r="B200" s="4">
        <v>45686</v>
      </c>
      <c r="C200" s="3" t="s">
        <v>259</v>
      </c>
      <c r="D200" s="3" t="s">
        <v>260</v>
      </c>
      <c r="E200" s="3" t="s">
        <v>68</v>
      </c>
      <c r="F200" s="3" t="s">
        <v>69</v>
      </c>
      <c r="G200" s="3" t="s">
        <v>26</v>
      </c>
      <c r="H200" s="3">
        <v>4</v>
      </c>
      <c r="I200" s="5">
        <v>899.99</v>
      </c>
      <c r="J200" s="3" t="s">
        <v>41</v>
      </c>
      <c r="K200" s="3" t="s">
        <v>28</v>
      </c>
      <c r="L200" s="3" t="s">
        <v>29</v>
      </c>
      <c r="M200" s="4">
        <v>44734</v>
      </c>
      <c r="N200" s="5">
        <v>3599.96</v>
      </c>
      <c r="O200" s="6">
        <f t="shared" si="15"/>
        <v>45658</v>
      </c>
      <c r="P200" s="4">
        <f t="shared" si="16"/>
        <v>45688</v>
      </c>
      <c r="Q200" s="3">
        <f t="shared" si="17"/>
        <v>2</v>
      </c>
      <c r="R200" s="7">
        <f t="shared" ca="1" si="18"/>
        <v>638</v>
      </c>
      <c r="S200" s="3">
        <f t="shared" si="19"/>
        <v>3</v>
      </c>
      <c r="T200" s="3" t="str">
        <f>IF(COUNTIF($D$2:D200,D200)=1,"First","Repeat")</f>
        <v>Repeat</v>
      </c>
      <c r="U200" s="3" t="str">
        <f>IF(AND($K200=DateTime_Filter!$C$21,$N200&gt;=DateTime_Filter!$C$22),MAX(U$1:U199)+1,"")</f>
        <v/>
      </c>
    </row>
    <row r="201" spans="1:21" x14ac:dyDescent="0.35">
      <c r="A201" s="3" t="s">
        <v>353</v>
      </c>
      <c r="B201" s="4">
        <v>45686</v>
      </c>
      <c r="C201" s="3" t="s">
        <v>93</v>
      </c>
      <c r="D201" s="3" t="s">
        <v>94</v>
      </c>
      <c r="E201" s="3" t="s">
        <v>112</v>
      </c>
      <c r="F201" s="3" t="s">
        <v>113</v>
      </c>
      <c r="G201" s="3" t="s">
        <v>53</v>
      </c>
      <c r="H201" s="3">
        <v>3</v>
      </c>
      <c r="I201" s="5">
        <v>299.99</v>
      </c>
      <c r="J201" s="3" t="s">
        <v>64</v>
      </c>
      <c r="K201" s="3" t="s">
        <v>57</v>
      </c>
      <c r="L201" s="3" t="s">
        <v>43</v>
      </c>
      <c r="M201" s="4">
        <v>44952</v>
      </c>
      <c r="N201" s="5">
        <v>899.97</v>
      </c>
      <c r="O201" s="6">
        <f t="shared" si="15"/>
        <v>45658</v>
      </c>
      <c r="P201" s="4">
        <f t="shared" si="16"/>
        <v>45688</v>
      </c>
      <c r="Q201" s="3">
        <f t="shared" si="17"/>
        <v>2</v>
      </c>
      <c r="R201" s="7">
        <f t="shared" ca="1" si="18"/>
        <v>638</v>
      </c>
      <c r="S201" s="3">
        <f t="shared" si="19"/>
        <v>12</v>
      </c>
      <c r="T201" s="3" t="str">
        <f>IF(COUNTIF($D$2:D201,D201)=1,"First","Repeat")</f>
        <v>Repeat</v>
      </c>
      <c r="U201" s="3" t="str">
        <f>IF(AND($K201=DateTime_Filter!$C$21,$N201&gt;=DateTime_Filter!$C$22),MAX(U$1:U200)+1,"")</f>
        <v/>
      </c>
    </row>
    <row r="202" spans="1:21" x14ac:dyDescent="0.35">
      <c r="A202" s="3" t="s">
        <v>354</v>
      </c>
      <c r="B202" s="4">
        <v>45686</v>
      </c>
      <c r="C202" s="3" t="s">
        <v>300</v>
      </c>
      <c r="D202" s="3" t="s">
        <v>301</v>
      </c>
      <c r="E202" s="3" t="s">
        <v>87</v>
      </c>
      <c r="F202" s="3" t="s">
        <v>88</v>
      </c>
      <c r="G202" s="3" t="s">
        <v>26</v>
      </c>
      <c r="H202" s="3">
        <v>2</v>
      </c>
      <c r="I202" s="5">
        <v>699.99</v>
      </c>
      <c r="J202" s="3" t="s">
        <v>64</v>
      </c>
      <c r="K202" s="3" t="s">
        <v>28</v>
      </c>
      <c r="L202" s="3" t="s">
        <v>34</v>
      </c>
      <c r="M202" s="4">
        <v>44681</v>
      </c>
      <c r="N202" s="5">
        <v>1399.98</v>
      </c>
      <c r="O202" s="6">
        <f t="shared" si="15"/>
        <v>45658</v>
      </c>
      <c r="P202" s="4">
        <f t="shared" si="16"/>
        <v>45688</v>
      </c>
      <c r="Q202" s="3">
        <f t="shared" si="17"/>
        <v>2</v>
      </c>
      <c r="R202" s="7">
        <f t="shared" ca="1" si="18"/>
        <v>638</v>
      </c>
      <c r="S202" s="3">
        <f t="shared" si="19"/>
        <v>4</v>
      </c>
      <c r="T202" s="3" t="str">
        <f>IF(COUNTIF($D$2:D202,D202)=1,"First","Repeat")</f>
        <v>Repeat</v>
      </c>
      <c r="U202" s="3" t="str">
        <f>IF(AND($K202=DateTime_Filter!$C$21,$N202&gt;=DateTime_Filter!$C$22),MAX(U$1:U201)+1,"")</f>
        <v/>
      </c>
    </row>
    <row r="203" spans="1:21" x14ac:dyDescent="0.35">
      <c r="A203" s="3" t="s">
        <v>355</v>
      </c>
      <c r="B203" s="4">
        <v>45688</v>
      </c>
      <c r="C203" s="3" t="s">
        <v>75</v>
      </c>
      <c r="D203" s="3" t="s">
        <v>76</v>
      </c>
      <c r="E203" s="3" t="s">
        <v>87</v>
      </c>
      <c r="F203" s="3" t="s">
        <v>88</v>
      </c>
      <c r="G203" s="3" t="s">
        <v>26</v>
      </c>
      <c r="H203" s="3">
        <v>4</v>
      </c>
      <c r="I203" s="5">
        <v>699.99</v>
      </c>
      <c r="J203" s="3" t="s">
        <v>64</v>
      </c>
      <c r="K203" s="3" t="s">
        <v>57</v>
      </c>
      <c r="L203" s="3" t="s">
        <v>34</v>
      </c>
      <c r="M203" s="4">
        <v>44692</v>
      </c>
      <c r="N203" s="5">
        <v>2799.96</v>
      </c>
      <c r="O203" s="6">
        <f t="shared" si="15"/>
        <v>45658</v>
      </c>
      <c r="P203" s="4">
        <f t="shared" si="16"/>
        <v>45688</v>
      </c>
      <c r="Q203" s="3">
        <f t="shared" si="17"/>
        <v>2</v>
      </c>
      <c r="R203" s="7">
        <f t="shared" ca="1" si="18"/>
        <v>636</v>
      </c>
      <c r="S203" s="3">
        <f t="shared" si="19"/>
        <v>8</v>
      </c>
      <c r="T203" s="3" t="str">
        <f>IF(COUNTIF($D$2:D203,D203)=1,"First","Repeat")</f>
        <v>Repeat</v>
      </c>
      <c r="U203" s="3" t="str">
        <f>IF(AND($K203=DateTime_Filter!$C$21,$N203&gt;=DateTime_Filter!$C$22),MAX(U$1:U202)+1,"")</f>
        <v/>
      </c>
    </row>
    <row r="204" spans="1:21" x14ac:dyDescent="0.35">
      <c r="A204" s="3" t="s">
        <v>356</v>
      </c>
      <c r="B204" s="4">
        <v>45688</v>
      </c>
      <c r="C204" s="3" t="s">
        <v>133</v>
      </c>
      <c r="D204" s="3" t="s">
        <v>134</v>
      </c>
      <c r="E204" s="3" t="s">
        <v>118</v>
      </c>
      <c r="F204" s="3" t="s">
        <v>119</v>
      </c>
      <c r="G204" s="3" t="s">
        <v>26</v>
      </c>
      <c r="H204" s="3">
        <v>2</v>
      </c>
      <c r="I204" s="5">
        <v>89.99</v>
      </c>
      <c r="J204" s="3" t="s">
        <v>64</v>
      </c>
      <c r="K204" s="3" t="s">
        <v>42</v>
      </c>
      <c r="L204" s="3" t="s">
        <v>29</v>
      </c>
      <c r="M204" s="4">
        <v>44777</v>
      </c>
      <c r="N204" s="5">
        <v>179.98</v>
      </c>
      <c r="O204" s="6">
        <f t="shared" si="15"/>
        <v>45658</v>
      </c>
      <c r="P204" s="4">
        <f t="shared" si="16"/>
        <v>45688</v>
      </c>
      <c r="Q204" s="3">
        <f t="shared" si="17"/>
        <v>2</v>
      </c>
      <c r="R204" s="7">
        <f t="shared" ca="1" si="18"/>
        <v>636</v>
      </c>
      <c r="S204" s="3">
        <f t="shared" si="19"/>
        <v>6</v>
      </c>
      <c r="T204" s="3" t="str">
        <f>IF(COUNTIF($D$2:D204,D204)=1,"First","Repeat")</f>
        <v>Repeat</v>
      </c>
      <c r="U204" s="3" t="str">
        <f>IF(AND($K204=DateTime_Filter!$C$21,$N204&gt;=DateTime_Filter!$C$22),MAX(U$1:U203)+1,"")</f>
        <v/>
      </c>
    </row>
    <row r="205" spans="1:21" x14ac:dyDescent="0.35">
      <c r="A205" s="3" t="s">
        <v>357</v>
      </c>
      <c r="B205" s="4">
        <v>45688</v>
      </c>
      <c r="C205" s="3" t="s">
        <v>49</v>
      </c>
      <c r="D205" s="3" t="s">
        <v>50</v>
      </c>
      <c r="E205" s="3" t="s">
        <v>118</v>
      </c>
      <c r="F205" s="3" t="s">
        <v>119</v>
      </c>
      <c r="G205" s="3" t="s">
        <v>26</v>
      </c>
      <c r="H205" s="3">
        <v>3</v>
      </c>
      <c r="I205" s="5">
        <v>89.99</v>
      </c>
      <c r="J205" s="3" t="s">
        <v>64</v>
      </c>
      <c r="K205" s="3" t="s">
        <v>42</v>
      </c>
      <c r="L205" s="3" t="s">
        <v>34</v>
      </c>
      <c r="M205" s="4">
        <v>45307</v>
      </c>
      <c r="N205" s="5">
        <v>269.97000000000003</v>
      </c>
      <c r="O205" s="6">
        <f t="shared" si="15"/>
        <v>45658</v>
      </c>
      <c r="P205" s="4">
        <f t="shared" si="16"/>
        <v>45688</v>
      </c>
      <c r="Q205" s="3">
        <f t="shared" si="17"/>
        <v>1</v>
      </c>
      <c r="R205" s="7">
        <f t="shared" ca="1" si="18"/>
        <v>636</v>
      </c>
      <c r="S205" s="3">
        <f t="shared" si="19"/>
        <v>9</v>
      </c>
      <c r="T205" s="3" t="str">
        <f>IF(COUNTIF($D$2:D205,D205)=1,"First","Repeat")</f>
        <v>Repeat</v>
      </c>
      <c r="U205" s="3" t="str">
        <f>IF(AND($K205=DateTime_Filter!$C$21,$N205&gt;=DateTime_Filter!$C$22),MAX(U$1:U204)+1,"")</f>
        <v/>
      </c>
    </row>
    <row r="206" spans="1:21" x14ac:dyDescent="0.35">
      <c r="A206" s="3" t="s">
        <v>358</v>
      </c>
      <c r="B206" s="4">
        <v>45692</v>
      </c>
      <c r="C206" s="3" t="s">
        <v>332</v>
      </c>
      <c r="D206" s="3" t="s">
        <v>333</v>
      </c>
      <c r="E206" s="3" t="s">
        <v>38</v>
      </c>
      <c r="F206" s="3" t="s">
        <v>39</v>
      </c>
      <c r="G206" s="3" t="s">
        <v>40</v>
      </c>
      <c r="H206" s="3">
        <v>1</v>
      </c>
      <c r="I206" s="5">
        <v>59.99</v>
      </c>
      <c r="J206" s="3" t="s">
        <v>64</v>
      </c>
      <c r="K206" s="3" t="s">
        <v>28</v>
      </c>
      <c r="L206" s="3" t="s">
        <v>43</v>
      </c>
      <c r="M206" s="4">
        <v>45045</v>
      </c>
      <c r="N206" s="5">
        <v>59.99</v>
      </c>
      <c r="O206" s="6">
        <f t="shared" si="15"/>
        <v>45689</v>
      </c>
      <c r="P206" s="4">
        <f t="shared" si="16"/>
        <v>45716</v>
      </c>
      <c r="Q206" s="3">
        <f t="shared" si="17"/>
        <v>1</v>
      </c>
      <c r="R206" s="7">
        <f t="shared" ca="1" si="18"/>
        <v>632</v>
      </c>
      <c r="S206" s="3">
        <f t="shared" si="19"/>
        <v>3</v>
      </c>
      <c r="T206" s="3" t="str">
        <f>IF(COUNTIF($D$2:D206,D206)=1,"First","Repeat")</f>
        <v>Repeat</v>
      </c>
      <c r="U206" s="3" t="str">
        <f>IF(AND($K206=DateTime_Filter!$C$21,$N206&gt;=DateTime_Filter!$C$22),MAX(U$1:U205)+1,"")</f>
        <v/>
      </c>
    </row>
    <row r="207" spans="1:21" x14ac:dyDescent="0.35">
      <c r="A207" s="3" t="s">
        <v>359</v>
      </c>
      <c r="B207" s="4">
        <v>45695</v>
      </c>
      <c r="C207" s="3" t="s">
        <v>253</v>
      </c>
      <c r="D207" s="3" t="s">
        <v>254</v>
      </c>
      <c r="E207" s="3" t="s">
        <v>51</v>
      </c>
      <c r="F207" s="3" t="s">
        <v>52</v>
      </c>
      <c r="G207" s="3" t="s">
        <v>53</v>
      </c>
      <c r="H207" s="3">
        <v>3</v>
      </c>
      <c r="I207" s="5">
        <v>149.99</v>
      </c>
      <c r="J207" s="3" t="s">
        <v>64</v>
      </c>
      <c r="K207" s="3" t="s">
        <v>47</v>
      </c>
      <c r="L207" s="3" t="s">
        <v>34</v>
      </c>
      <c r="M207" s="4">
        <v>44564</v>
      </c>
      <c r="N207" s="5">
        <v>449.97</v>
      </c>
      <c r="O207" s="6">
        <f t="shared" si="15"/>
        <v>45689</v>
      </c>
      <c r="P207" s="4">
        <f t="shared" si="16"/>
        <v>45716</v>
      </c>
      <c r="Q207" s="3">
        <f t="shared" si="17"/>
        <v>3</v>
      </c>
      <c r="R207" s="7">
        <f t="shared" ca="1" si="18"/>
        <v>629</v>
      </c>
      <c r="S207" s="3">
        <f t="shared" si="19"/>
        <v>3</v>
      </c>
      <c r="T207" s="3" t="str">
        <f>IF(COUNTIF($D$2:D207,D207)=1,"First","Repeat")</f>
        <v>Repeat</v>
      </c>
      <c r="U207" s="3" t="str">
        <f>IF(AND($K207=DateTime_Filter!$C$21,$N207&gt;=DateTime_Filter!$C$22),MAX(U$1:U206)+1,"")</f>
        <v/>
      </c>
    </row>
    <row r="208" spans="1:21" x14ac:dyDescent="0.35">
      <c r="A208" s="3" t="s">
        <v>360</v>
      </c>
      <c r="B208" s="4">
        <v>45695</v>
      </c>
      <c r="C208" s="3" t="s">
        <v>100</v>
      </c>
      <c r="D208" s="3" t="s">
        <v>101</v>
      </c>
      <c r="E208" s="3" t="s">
        <v>112</v>
      </c>
      <c r="F208" s="3" t="s">
        <v>113</v>
      </c>
      <c r="G208" s="3" t="s">
        <v>53</v>
      </c>
      <c r="H208" s="3">
        <v>5</v>
      </c>
      <c r="I208" s="5">
        <v>299.99</v>
      </c>
      <c r="J208" s="3" t="s">
        <v>33</v>
      </c>
      <c r="K208" s="3" t="s">
        <v>42</v>
      </c>
      <c r="L208" s="3" t="s">
        <v>29</v>
      </c>
      <c r="M208" s="4">
        <v>44959</v>
      </c>
      <c r="N208" s="5">
        <v>1499.95</v>
      </c>
      <c r="O208" s="6">
        <f t="shared" si="15"/>
        <v>45689</v>
      </c>
      <c r="P208" s="4">
        <f t="shared" si="16"/>
        <v>45716</v>
      </c>
      <c r="Q208" s="3">
        <f t="shared" si="17"/>
        <v>2</v>
      </c>
      <c r="R208" s="7">
        <f t="shared" ca="1" si="18"/>
        <v>629</v>
      </c>
      <c r="S208" s="3">
        <f t="shared" si="19"/>
        <v>6</v>
      </c>
      <c r="T208" s="3" t="str">
        <f>IF(COUNTIF($D$2:D208,D208)=1,"First","Repeat")</f>
        <v>Repeat</v>
      </c>
      <c r="U208" s="3" t="str">
        <f>IF(AND($K208=DateTime_Filter!$C$21,$N208&gt;=DateTime_Filter!$C$22),MAX(U$1:U207)+1,"")</f>
        <v/>
      </c>
    </row>
    <row r="209" spans="1:21" x14ac:dyDescent="0.35">
      <c r="A209" s="3" t="s">
        <v>361</v>
      </c>
      <c r="B209" s="4">
        <v>45696</v>
      </c>
      <c r="C209" s="3" t="s">
        <v>158</v>
      </c>
      <c r="D209" s="3" t="s">
        <v>159</v>
      </c>
      <c r="E209" s="3" t="s">
        <v>38</v>
      </c>
      <c r="F209" s="3" t="s">
        <v>39</v>
      </c>
      <c r="G209" s="3" t="s">
        <v>40</v>
      </c>
      <c r="H209" s="3">
        <v>5</v>
      </c>
      <c r="I209" s="5">
        <v>59.99</v>
      </c>
      <c r="J209" s="3" t="s">
        <v>64</v>
      </c>
      <c r="K209" s="3" t="s">
        <v>28</v>
      </c>
      <c r="L209" s="3" t="s">
        <v>43</v>
      </c>
      <c r="M209" s="4">
        <v>45177</v>
      </c>
      <c r="N209" s="5">
        <v>299.95</v>
      </c>
      <c r="O209" s="6">
        <f t="shared" si="15"/>
        <v>45689</v>
      </c>
      <c r="P209" s="4">
        <f t="shared" si="16"/>
        <v>45716</v>
      </c>
      <c r="Q209" s="3">
        <f t="shared" si="17"/>
        <v>1</v>
      </c>
      <c r="R209" s="7">
        <f t="shared" ca="1" si="18"/>
        <v>628</v>
      </c>
      <c r="S209" s="3">
        <f t="shared" si="19"/>
        <v>6</v>
      </c>
      <c r="T209" s="3" t="str">
        <f>IF(COUNTIF($D$2:D209,D209)=1,"First","Repeat")</f>
        <v>Repeat</v>
      </c>
      <c r="U209" s="3" t="str">
        <f>IF(AND($K209=DateTime_Filter!$C$21,$N209&gt;=DateTime_Filter!$C$22),MAX(U$1:U208)+1,"")</f>
        <v/>
      </c>
    </row>
    <row r="210" spans="1:21" x14ac:dyDescent="0.35">
      <c r="A210" s="3" t="s">
        <v>362</v>
      </c>
      <c r="B210" s="4">
        <v>45701</v>
      </c>
      <c r="C210" s="3" t="s">
        <v>115</v>
      </c>
      <c r="D210" s="3" t="s">
        <v>116</v>
      </c>
      <c r="E210" s="3" t="s">
        <v>124</v>
      </c>
      <c r="F210" s="3" t="s">
        <v>125</v>
      </c>
      <c r="G210" s="3" t="s">
        <v>40</v>
      </c>
      <c r="H210" s="3">
        <v>3</v>
      </c>
      <c r="I210" s="5">
        <v>79.989999999999995</v>
      </c>
      <c r="J210" s="3" t="s">
        <v>27</v>
      </c>
      <c r="K210" s="3" t="s">
        <v>70</v>
      </c>
      <c r="L210" s="3" t="s">
        <v>34</v>
      </c>
      <c r="M210" s="4">
        <v>44436</v>
      </c>
      <c r="N210" s="5">
        <v>239.97</v>
      </c>
      <c r="O210" s="6">
        <f t="shared" si="15"/>
        <v>45689</v>
      </c>
      <c r="P210" s="4">
        <f t="shared" si="16"/>
        <v>45716</v>
      </c>
      <c r="Q210" s="3">
        <f t="shared" si="17"/>
        <v>3</v>
      </c>
      <c r="R210" s="7">
        <f t="shared" ca="1" si="18"/>
        <v>623</v>
      </c>
      <c r="S210" s="3">
        <f t="shared" si="19"/>
        <v>6</v>
      </c>
      <c r="T210" s="3" t="str">
        <f>IF(COUNTIF($D$2:D210,D210)=1,"First","Repeat")</f>
        <v>Repeat</v>
      </c>
      <c r="U210" s="3" t="str">
        <f>IF(AND($K210=DateTime_Filter!$C$21,$N210&gt;=DateTime_Filter!$C$22),MAX(U$1:U209)+1,"")</f>
        <v/>
      </c>
    </row>
    <row r="211" spans="1:21" x14ac:dyDescent="0.35">
      <c r="A211" s="3" t="s">
        <v>363</v>
      </c>
      <c r="B211" s="4">
        <v>45704</v>
      </c>
      <c r="C211" s="3" t="s">
        <v>36</v>
      </c>
      <c r="D211" s="3" t="s">
        <v>37</v>
      </c>
      <c r="E211" s="3" t="s">
        <v>130</v>
      </c>
      <c r="F211" s="3" t="s">
        <v>131</v>
      </c>
      <c r="G211" s="3" t="s">
        <v>53</v>
      </c>
      <c r="H211" s="3">
        <v>3</v>
      </c>
      <c r="I211" s="5">
        <v>199.99</v>
      </c>
      <c r="J211" s="3" t="s">
        <v>27</v>
      </c>
      <c r="K211" s="3" t="s">
        <v>28</v>
      </c>
      <c r="L211" s="3" t="s">
        <v>29</v>
      </c>
      <c r="M211" s="4">
        <v>44735</v>
      </c>
      <c r="N211" s="5">
        <v>599.97</v>
      </c>
      <c r="O211" s="6">
        <f t="shared" si="15"/>
        <v>45689</v>
      </c>
      <c r="P211" s="4">
        <f t="shared" si="16"/>
        <v>45716</v>
      </c>
      <c r="Q211" s="3">
        <f t="shared" si="17"/>
        <v>2</v>
      </c>
      <c r="R211" s="7">
        <f t="shared" ca="1" si="18"/>
        <v>620</v>
      </c>
      <c r="S211" s="3">
        <f t="shared" si="19"/>
        <v>6</v>
      </c>
      <c r="T211" s="3" t="str">
        <f>IF(COUNTIF($D$2:D211,D211)=1,"First","Repeat")</f>
        <v>Repeat</v>
      </c>
      <c r="U211" s="3" t="str">
        <f>IF(AND($K211=DateTime_Filter!$C$21,$N211&gt;=DateTime_Filter!$C$22),MAX(U$1:U210)+1,"")</f>
        <v/>
      </c>
    </row>
    <row r="212" spans="1:21" x14ac:dyDescent="0.35">
      <c r="A212" s="3" t="s">
        <v>364</v>
      </c>
      <c r="B212" s="4">
        <v>45704</v>
      </c>
      <c r="C212" s="3" t="s">
        <v>22</v>
      </c>
      <c r="D212" s="3" t="s">
        <v>23</v>
      </c>
      <c r="E212" s="3" t="s">
        <v>118</v>
      </c>
      <c r="F212" s="3" t="s">
        <v>119</v>
      </c>
      <c r="G212" s="3" t="s">
        <v>26</v>
      </c>
      <c r="H212" s="3">
        <v>2</v>
      </c>
      <c r="I212" s="5">
        <v>89.99</v>
      </c>
      <c r="J212" s="3" t="s">
        <v>41</v>
      </c>
      <c r="K212" s="3" t="s">
        <v>28</v>
      </c>
      <c r="L212" s="3" t="s">
        <v>29</v>
      </c>
      <c r="M212" s="4">
        <v>45257</v>
      </c>
      <c r="N212" s="5">
        <v>179.98</v>
      </c>
      <c r="O212" s="6">
        <f t="shared" si="15"/>
        <v>45689</v>
      </c>
      <c r="P212" s="4">
        <f t="shared" si="16"/>
        <v>45716</v>
      </c>
      <c r="Q212" s="3">
        <f t="shared" si="17"/>
        <v>1</v>
      </c>
      <c r="R212" s="7">
        <f t="shared" ca="1" si="18"/>
        <v>620</v>
      </c>
      <c r="S212" s="3">
        <f t="shared" si="19"/>
        <v>8</v>
      </c>
      <c r="T212" s="3" t="str">
        <f>IF(COUNTIF($D$2:D212,D212)=1,"First","Repeat")</f>
        <v>Repeat</v>
      </c>
      <c r="U212" s="3" t="str">
        <f>IF(AND($K212=DateTime_Filter!$C$21,$N212&gt;=DateTime_Filter!$C$22),MAX(U$1:U211)+1,"")</f>
        <v/>
      </c>
    </row>
    <row r="213" spans="1:21" x14ac:dyDescent="0.35">
      <c r="A213" s="3" t="s">
        <v>365</v>
      </c>
      <c r="B213" s="4">
        <v>45705</v>
      </c>
      <c r="C213" s="3" t="s">
        <v>266</v>
      </c>
      <c r="D213" s="3" t="s">
        <v>267</v>
      </c>
      <c r="E213" s="3" t="s">
        <v>51</v>
      </c>
      <c r="F213" s="3" t="s">
        <v>52</v>
      </c>
      <c r="G213" s="3" t="s">
        <v>53</v>
      </c>
      <c r="H213" s="3">
        <v>2</v>
      </c>
      <c r="I213" s="5">
        <v>149.99</v>
      </c>
      <c r="J213" s="3" t="s">
        <v>27</v>
      </c>
      <c r="K213" s="3" t="s">
        <v>42</v>
      </c>
      <c r="L213" s="3" t="s">
        <v>34</v>
      </c>
      <c r="M213" s="4">
        <v>44728</v>
      </c>
      <c r="N213" s="5">
        <v>299.98</v>
      </c>
      <c r="O213" s="6">
        <f t="shared" si="15"/>
        <v>45689</v>
      </c>
      <c r="P213" s="4">
        <f t="shared" si="16"/>
        <v>45716</v>
      </c>
      <c r="Q213" s="3">
        <f t="shared" si="17"/>
        <v>2</v>
      </c>
      <c r="R213" s="7">
        <f t="shared" ca="1" si="18"/>
        <v>619</v>
      </c>
      <c r="S213" s="3">
        <f t="shared" si="19"/>
        <v>3</v>
      </c>
      <c r="T213" s="3" t="str">
        <f>IF(COUNTIF($D$2:D213,D213)=1,"First","Repeat")</f>
        <v>Repeat</v>
      </c>
      <c r="U213" s="3" t="str">
        <f>IF(AND($K213=DateTime_Filter!$C$21,$N213&gt;=DateTime_Filter!$C$22),MAX(U$1:U212)+1,"")</f>
        <v/>
      </c>
    </row>
    <row r="214" spans="1:21" x14ac:dyDescent="0.35">
      <c r="A214" s="3" t="s">
        <v>366</v>
      </c>
      <c r="B214" s="4">
        <v>45707</v>
      </c>
      <c r="C214" s="3" t="s">
        <v>49</v>
      </c>
      <c r="D214" s="3" t="s">
        <v>50</v>
      </c>
      <c r="E214" s="3" t="s">
        <v>51</v>
      </c>
      <c r="F214" s="3" t="s">
        <v>52</v>
      </c>
      <c r="G214" s="3" t="s">
        <v>53</v>
      </c>
      <c r="H214" s="3">
        <v>3</v>
      </c>
      <c r="I214" s="5">
        <v>149.99</v>
      </c>
      <c r="J214" s="3" t="s">
        <v>41</v>
      </c>
      <c r="K214" s="3" t="s">
        <v>28</v>
      </c>
      <c r="L214" s="3" t="s">
        <v>43</v>
      </c>
      <c r="M214" s="4">
        <v>44633</v>
      </c>
      <c r="N214" s="5">
        <v>449.97</v>
      </c>
      <c r="O214" s="6">
        <f t="shared" si="15"/>
        <v>45689</v>
      </c>
      <c r="P214" s="4">
        <f t="shared" si="16"/>
        <v>45716</v>
      </c>
      <c r="Q214" s="3">
        <f t="shared" si="17"/>
        <v>2</v>
      </c>
      <c r="R214" s="7">
        <f t="shared" ca="1" si="18"/>
        <v>617</v>
      </c>
      <c r="S214" s="3">
        <f t="shared" si="19"/>
        <v>9</v>
      </c>
      <c r="T214" s="3" t="str">
        <f>IF(COUNTIF($D$2:D214,D214)=1,"First","Repeat")</f>
        <v>Repeat</v>
      </c>
      <c r="U214" s="3" t="str">
        <f>IF(AND($K214=DateTime_Filter!$C$21,$N214&gt;=DateTime_Filter!$C$22),MAX(U$1:U213)+1,"")</f>
        <v/>
      </c>
    </row>
    <row r="215" spans="1:21" x14ac:dyDescent="0.35">
      <c r="A215" s="3" t="s">
        <v>367</v>
      </c>
      <c r="B215" s="4">
        <v>45707</v>
      </c>
      <c r="C215" s="3" t="s">
        <v>133</v>
      </c>
      <c r="D215" s="3" t="s">
        <v>134</v>
      </c>
      <c r="E215" s="3" t="s">
        <v>87</v>
      </c>
      <c r="F215" s="3" t="s">
        <v>88</v>
      </c>
      <c r="G215" s="3" t="s">
        <v>26</v>
      </c>
      <c r="H215" s="3">
        <v>5</v>
      </c>
      <c r="I215" s="5">
        <v>699.99</v>
      </c>
      <c r="J215" s="3" t="s">
        <v>41</v>
      </c>
      <c r="K215" s="3" t="s">
        <v>42</v>
      </c>
      <c r="L215" s="3" t="s">
        <v>34</v>
      </c>
      <c r="M215" s="4">
        <v>45352</v>
      </c>
      <c r="N215" s="5">
        <v>3499.95</v>
      </c>
      <c r="O215" s="6">
        <f t="shared" si="15"/>
        <v>45689</v>
      </c>
      <c r="P215" s="4">
        <f t="shared" si="16"/>
        <v>45716</v>
      </c>
      <c r="Q215" s="3">
        <f t="shared" si="17"/>
        <v>0</v>
      </c>
      <c r="R215" s="7">
        <f t="shared" ca="1" si="18"/>
        <v>617</v>
      </c>
      <c r="S215" s="3">
        <f t="shared" si="19"/>
        <v>6</v>
      </c>
      <c r="T215" s="3" t="str">
        <f>IF(COUNTIF($D$2:D215,D215)=1,"First","Repeat")</f>
        <v>Repeat</v>
      </c>
      <c r="U215" s="3" t="str">
        <f>IF(AND($K215=DateTime_Filter!$C$21,$N215&gt;=DateTime_Filter!$C$22),MAX(U$1:U214)+1,"")</f>
        <v/>
      </c>
    </row>
    <row r="216" spans="1:21" x14ac:dyDescent="0.35">
      <c r="A216" s="3" t="s">
        <v>368</v>
      </c>
      <c r="B216" s="4">
        <v>45708</v>
      </c>
      <c r="C216" s="3" t="s">
        <v>103</v>
      </c>
      <c r="D216" s="3" t="s">
        <v>104</v>
      </c>
      <c r="E216" s="3" t="s">
        <v>68</v>
      </c>
      <c r="F216" s="3" t="s">
        <v>69</v>
      </c>
      <c r="G216" s="3" t="s">
        <v>26</v>
      </c>
      <c r="H216" s="3">
        <v>3</v>
      </c>
      <c r="I216" s="5">
        <v>899.99</v>
      </c>
      <c r="J216" s="3" t="s">
        <v>27</v>
      </c>
      <c r="K216" s="3" t="s">
        <v>70</v>
      </c>
      <c r="L216" s="3" t="s">
        <v>43</v>
      </c>
      <c r="M216" s="4">
        <v>44613</v>
      </c>
      <c r="N216" s="5">
        <v>2699.97</v>
      </c>
      <c r="O216" s="6">
        <f t="shared" si="15"/>
        <v>45689</v>
      </c>
      <c r="P216" s="4">
        <f t="shared" si="16"/>
        <v>45716</v>
      </c>
      <c r="Q216" s="3">
        <f t="shared" si="17"/>
        <v>2</v>
      </c>
      <c r="R216" s="7">
        <f t="shared" ca="1" si="18"/>
        <v>616</v>
      </c>
      <c r="S216" s="3">
        <f t="shared" si="19"/>
        <v>5</v>
      </c>
      <c r="T216" s="3" t="str">
        <f>IF(COUNTIF($D$2:D216,D216)=1,"First","Repeat")</f>
        <v>Repeat</v>
      </c>
      <c r="U216" s="3" t="str">
        <f>IF(AND($K216=DateTime_Filter!$C$21,$N216&gt;=DateTime_Filter!$C$22),MAX(U$1:U215)+1,"")</f>
        <v/>
      </c>
    </row>
    <row r="217" spans="1:21" x14ac:dyDescent="0.35">
      <c r="A217" s="3" t="s">
        <v>369</v>
      </c>
      <c r="B217" s="4">
        <v>45708</v>
      </c>
      <c r="C217" s="3" t="s">
        <v>199</v>
      </c>
      <c r="D217" s="3" t="s">
        <v>200</v>
      </c>
      <c r="E217" s="3" t="s">
        <v>130</v>
      </c>
      <c r="F217" s="3" t="s">
        <v>131</v>
      </c>
      <c r="G217" s="3" t="s">
        <v>53</v>
      </c>
      <c r="H217" s="3">
        <v>3</v>
      </c>
      <c r="I217" s="5">
        <v>199.99</v>
      </c>
      <c r="J217" s="3" t="s">
        <v>27</v>
      </c>
      <c r="K217" s="3" t="s">
        <v>57</v>
      </c>
      <c r="L217" s="3" t="s">
        <v>34</v>
      </c>
      <c r="M217" s="4">
        <v>44823</v>
      </c>
      <c r="N217" s="5">
        <v>599.97</v>
      </c>
      <c r="O217" s="6">
        <f t="shared" si="15"/>
        <v>45689</v>
      </c>
      <c r="P217" s="4">
        <f t="shared" si="16"/>
        <v>45716</v>
      </c>
      <c r="Q217" s="3">
        <f t="shared" si="17"/>
        <v>2</v>
      </c>
      <c r="R217" s="7">
        <f t="shared" ca="1" si="18"/>
        <v>616</v>
      </c>
      <c r="S217" s="3">
        <f t="shared" si="19"/>
        <v>5</v>
      </c>
      <c r="T217" s="3" t="str">
        <f>IF(COUNTIF($D$2:D217,D217)=1,"First","Repeat")</f>
        <v>Repeat</v>
      </c>
      <c r="U217" s="3" t="str">
        <f>IF(AND($K217=DateTime_Filter!$C$21,$N217&gt;=DateTime_Filter!$C$22),MAX(U$1:U216)+1,"")</f>
        <v/>
      </c>
    </row>
    <row r="218" spans="1:21" x14ac:dyDescent="0.35">
      <c r="A218" s="3" t="s">
        <v>370</v>
      </c>
      <c r="B218" s="4">
        <v>45710</v>
      </c>
      <c r="C218" s="3" t="s">
        <v>62</v>
      </c>
      <c r="D218" s="3" t="s">
        <v>63</v>
      </c>
      <c r="E218" s="3" t="s">
        <v>112</v>
      </c>
      <c r="F218" s="3" t="s">
        <v>113</v>
      </c>
      <c r="G218" s="3" t="s">
        <v>53</v>
      </c>
      <c r="H218" s="3">
        <v>5</v>
      </c>
      <c r="I218" s="5">
        <v>299.99</v>
      </c>
      <c r="J218" s="3" t="s">
        <v>27</v>
      </c>
      <c r="K218" s="3" t="s">
        <v>57</v>
      </c>
      <c r="L218" s="3" t="s">
        <v>43</v>
      </c>
      <c r="M218" s="4">
        <v>45142</v>
      </c>
      <c r="N218" s="5">
        <v>1499.95</v>
      </c>
      <c r="O218" s="6">
        <f t="shared" si="15"/>
        <v>45689</v>
      </c>
      <c r="P218" s="4">
        <f t="shared" si="16"/>
        <v>45716</v>
      </c>
      <c r="Q218" s="3">
        <f t="shared" si="17"/>
        <v>1</v>
      </c>
      <c r="R218" s="7">
        <f t="shared" ca="1" si="18"/>
        <v>614</v>
      </c>
      <c r="S218" s="3">
        <f t="shared" si="19"/>
        <v>9</v>
      </c>
      <c r="T218" s="3" t="str">
        <f>IF(COUNTIF($D$2:D218,D218)=1,"First","Repeat")</f>
        <v>Repeat</v>
      </c>
      <c r="U218" s="3" t="str">
        <f>IF(AND($K218=DateTime_Filter!$C$21,$N218&gt;=DateTime_Filter!$C$22),MAX(U$1:U217)+1,"")</f>
        <v/>
      </c>
    </row>
    <row r="219" spans="1:21" x14ac:dyDescent="0.35">
      <c r="A219" s="3" t="s">
        <v>371</v>
      </c>
      <c r="B219" s="4">
        <v>45710</v>
      </c>
      <c r="C219" s="3" t="s">
        <v>158</v>
      </c>
      <c r="D219" s="3" t="s">
        <v>159</v>
      </c>
      <c r="E219" s="3" t="s">
        <v>87</v>
      </c>
      <c r="F219" s="3" t="s">
        <v>88</v>
      </c>
      <c r="G219" s="3" t="s">
        <v>26</v>
      </c>
      <c r="H219" s="3">
        <v>1</v>
      </c>
      <c r="I219" s="5">
        <v>699.99</v>
      </c>
      <c r="J219" s="3" t="s">
        <v>41</v>
      </c>
      <c r="K219" s="3" t="s">
        <v>57</v>
      </c>
      <c r="L219" s="3" t="s">
        <v>29</v>
      </c>
      <c r="M219" s="4">
        <v>44934</v>
      </c>
      <c r="N219" s="5">
        <v>699.99</v>
      </c>
      <c r="O219" s="6">
        <f t="shared" si="15"/>
        <v>45689</v>
      </c>
      <c r="P219" s="4">
        <f t="shared" si="16"/>
        <v>45716</v>
      </c>
      <c r="Q219" s="3">
        <f t="shared" si="17"/>
        <v>2</v>
      </c>
      <c r="R219" s="7">
        <f t="shared" ca="1" si="18"/>
        <v>614</v>
      </c>
      <c r="S219" s="3">
        <f t="shared" si="19"/>
        <v>6</v>
      </c>
      <c r="T219" s="3" t="str">
        <f>IF(COUNTIF($D$2:D219,D219)=1,"First","Repeat")</f>
        <v>Repeat</v>
      </c>
      <c r="U219" s="3" t="str">
        <f>IF(AND($K219=DateTime_Filter!$C$21,$N219&gt;=DateTime_Filter!$C$22),MAX(U$1:U218)+1,"")</f>
        <v/>
      </c>
    </row>
    <row r="220" spans="1:21" x14ac:dyDescent="0.35">
      <c r="A220" s="3" t="s">
        <v>372</v>
      </c>
      <c r="B220" s="4">
        <v>45711</v>
      </c>
      <c r="C220" s="3" t="s">
        <v>253</v>
      </c>
      <c r="D220" s="3" t="s">
        <v>254</v>
      </c>
      <c r="E220" s="3" t="s">
        <v>87</v>
      </c>
      <c r="F220" s="3" t="s">
        <v>88</v>
      </c>
      <c r="G220" s="3" t="s">
        <v>26</v>
      </c>
      <c r="H220" s="3">
        <v>1</v>
      </c>
      <c r="I220" s="5">
        <v>699.99</v>
      </c>
      <c r="J220" s="3" t="s">
        <v>27</v>
      </c>
      <c r="K220" s="3" t="s">
        <v>47</v>
      </c>
      <c r="L220" s="3" t="s">
        <v>34</v>
      </c>
      <c r="M220" s="4">
        <v>44583</v>
      </c>
      <c r="N220" s="5">
        <v>699.99</v>
      </c>
      <c r="O220" s="6">
        <f t="shared" si="15"/>
        <v>45689</v>
      </c>
      <c r="P220" s="4">
        <f t="shared" si="16"/>
        <v>45716</v>
      </c>
      <c r="Q220" s="3">
        <f t="shared" si="17"/>
        <v>3</v>
      </c>
      <c r="R220" s="7">
        <f t="shared" ca="1" si="18"/>
        <v>613</v>
      </c>
      <c r="S220" s="3">
        <f t="shared" si="19"/>
        <v>3</v>
      </c>
      <c r="T220" s="3" t="str">
        <f>IF(COUNTIF($D$2:D220,D220)=1,"First","Repeat")</f>
        <v>Repeat</v>
      </c>
      <c r="U220" s="3" t="str">
        <f>IF(AND($K220=DateTime_Filter!$C$21,$N220&gt;=DateTime_Filter!$C$22),MAX(U$1:U219)+1,"")</f>
        <v/>
      </c>
    </row>
    <row r="221" spans="1:21" x14ac:dyDescent="0.35">
      <c r="A221" s="3" t="s">
        <v>373</v>
      </c>
      <c r="B221" s="4">
        <v>45711</v>
      </c>
      <c r="C221" s="3" t="s">
        <v>218</v>
      </c>
      <c r="D221" s="3" t="s">
        <v>219</v>
      </c>
      <c r="E221" s="3" t="s">
        <v>118</v>
      </c>
      <c r="F221" s="3" t="s">
        <v>119</v>
      </c>
      <c r="G221" s="3" t="s">
        <v>26</v>
      </c>
      <c r="H221" s="3">
        <v>5</v>
      </c>
      <c r="I221" s="5">
        <v>89.99</v>
      </c>
      <c r="J221" s="3" t="s">
        <v>41</v>
      </c>
      <c r="K221" s="3" t="s">
        <v>57</v>
      </c>
      <c r="L221" s="3" t="s">
        <v>34</v>
      </c>
      <c r="M221" s="4">
        <v>45140</v>
      </c>
      <c r="N221" s="5">
        <v>449.95</v>
      </c>
      <c r="O221" s="6">
        <f t="shared" si="15"/>
        <v>45689</v>
      </c>
      <c r="P221" s="4">
        <f t="shared" si="16"/>
        <v>45716</v>
      </c>
      <c r="Q221" s="3">
        <f t="shared" si="17"/>
        <v>1</v>
      </c>
      <c r="R221" s="7">
        <f t="shared" ca="1" si="18"/>
        <v>613</v>
      </c>
      <c r="S221" s="3">
        <f t="shared" si="19"/>
        <v>4</v>
      </c>
      <c r="T221" s="3" t="str">
        <f>IF(COUNTIF($D$2:D221,D221)=1,"First","Repeat")</f>
        <v>Repeat</v>
      </c>
      <c r="U221" s="3" t="str">
        <f>IF(AND($K221=DateTime_Filter!$C$21,$N221&gt;=DateTime_Filter!$C$22),MAX(U$1:U220)+1,"")</f>
        <v/>
      </c>
    </row>
    <row r="222" spans="1:21" x14ac:dyDescent="0.35">
      <c r="A222" s="3" t="s">
        <v>374</v>
      </c>
      <c r="B222" s="4">
        <v>45711</v>
      </c>
      <c r="C222" s="3" t="s">
        <v>332</v>
      </c>
      <c r="D222" s="3" t="s">
        <v>333</v>
      </c>
      <c r="E222" s="3" t="s">
        <v>51</v>
      </c>
      <c r="F222" s="3" t="s">
        <v>52</v>
      </c>
      <c r="G222" s="3" t="s">
        <v>53</v>
      </c>
      <c r="H222" s="3">
        <v>4</v>
      </c>
      <c r="I222" s="5">
        <v>149.99</v>
      </c>
      <c r="J222" s="3" t="s">
        <v>41</v>
      </c>
      <c r="K222" s="3" t="s">
        <v>47</v>
      </c>
      <c r="L222" s="3" t="s">
        <v>34</v>
      </c>
      <c r="M222" s="4">
        <v>44412</v>
      </c>
      <c r="N222" s="5">
        <v>599.96</v>
      </c>
      <c r="O222" s="6">
        <f t="shared" si="15"/>
        <v>45689</v>
      </c>
      <c r="P222" s="4">
        <f t="shared" si="16"/>
        <v>45716</v>
      </c>
      <c r="Q222" s="3">
        <f t="shared" si="17"/>
        <v>3</v>
      </c>
      <c r="R222" s="7">
        <f t="shared" ca="1" si="18"/>
        <v>613</v>
      </c>
      <c r="S222" s="3">
        <f t="shared" si="19"/>
        <v>3</v>
      </c>
      <c r="T222" s="3" t="str">
        <f>IF(COUNTIF($D$2:D222,D222)=1,"First","Repeat")</f>
        <v>Repeat</v>
      </c>
      <c r="U222" s="3" t="str">
        <f>IF(AND($K222=DateTime_Filter!$C$21,$N222&gt;=DateTime_Filter!$C$22),MAX(U$1:U221)+1,"")</f>
        <v/>
      </c>
    </row>
    <row r="223" spans="1:21" x14ac:dyDescent="0.35">
      <c r="A223" s="3" t="s">
        <v>375</v>
      </c>
      <c r="B223" s="4">
        <v>45712</v>
      </c>
      <c r="C223" s="3" t="s">
        <v>145</v>
      </c>
      <c r="D223" s="3" t="s">
        <v>146</v>
      </c>
      <c r="E223" s="3" t="s">
        <v>130</v>
      </c>
      <c r="F223" s="3" t="s">
        <v>131</v>
      </c>
      <c r="G223" s="3" t="s">
        <v>53</v>
      </c>
      <c r="H223" s="3">
        <v>2</v>
      </c>
      <c r="I223" s="5">
        <v>199.99</v>
      </c>
      <c r="J223" s="3" t="s">
        <v>27</v>
      </c>
      <c r="K223" s="3" t="s">
        <v>28</v>
      </c>
      <c r="L223" s="3" t="s">
        <v>34</v>
      </c>
      <c r="M223" s="4">
        <v>44573</v>
      </c>
      <c r="N223" s="5">
        <v>399.98</v>
      </c>
      <c r="O223" s="6">
        <f t="shared" si="15"/>
        <v>45689</v>
      </c>
      <c r="P223" s="4">
        <f t="shared" si="16"/>
        <v>45716</v>
      </c>
      <c r="Q223" s="3">
        <f t="shared" si="17"/>
        <v>3</v>
      </c>
      <c r="R223" s="7">
        <f t="shared" ca="1" si="18"/>
        <v>612</v>
      </c>
      <c r="S223" s="3">
        <f t="shared" si="19"/>
        <v>6</v>
      </c>
      <c r="T223" s="3" t="str">
        <f>IF(COUNTIF($D$2:D223,D223)=1,"First","Repeat")</f>
        <v>Repeat</v>
      </c>
      <c r="U223" s="3" t="str">
        <f>IF(AND($K223=DateTime_Filter!$C$21,$N223&gt;=DateTime_Filter!$C$22),MAX(U$1:U222)+1,"")</f>
        <v/>
      </c>
    </row>
    <row r="224" spans="1:21" x14ac:dyDescent="0.35">
      <c r="A224" s="3" t="s">
        <v>376</v>
      </c>
      <c r="B224" s="4">
        <v>45715</v>
      </c>
      <c r="C224" s="3" t="s">
        <v>100</v>
      </c>
      <c r="D224" s="3" t="s">
        <v>101</v>
      </c>
      <c r="E224" s="3" t="s">
        <v>112</v>
      </c>
      <c r="F224" s="3" t="s">
        <v>113</v>
      </c>
      <c r="G224" s="3" t="s">
        <v>53</v>
      </c>
      <c r="H224" s="3">
        <v>2</v>
      </c>
      <c r="I224" s="5">
        <v>299.99</v>
      </c>
      <c r="J224" s="3" t="s">
        <v>41</v>
      </c>
      <c r="K224" s="3" t="s">
        <v>42</v>
      </c>
      <c r="L224" s="3" t="s">
        <v>29</v>
      </c>
      <c r="M224" s="4">
        <v>44576</v>
      </c>
      <c r="N224" s="5">
        <v>599.98</v>
      </c>
      <c r="O224" s="6">
        <f t="shared" si="15"/>
        <v>45689</v>
      </c>
      <c r="P224" s="4">
        <f t="shared" si="16"/>
        <v>45716</v>
      </c>
      <c r="Q224" s="3">
        <f t="shared" si="17"/>
        <v>3</v>
      </c>
      <c r="R224" s="7">
        <f t="shared" ca="1" si="18"/>
        <v>609</v>
      </c>
      <c r="S224" s="3">
        <f t="shared" si="19"/>
        <v>6</v>
      </c>
      <c r="T224" s="3" t="str">
        <f>IF(COUNTIF($D$2:D224,D224)=1,"First","Repeat")</f>
        <v>Repeat</v>
      </c>
      <c r="U224" s="3" t="str">
        <f>IF(AND($K224=DateTime_Filter!$C$21,$N224&gt;=DateTime_Filter!$C$22),MAX(U$1:U223)+1,"")</f>
        <v/>
      </c>
    </row>
    <row r="225" spans="1:21" x14ac:dyDescent="0.35">
      <c r="A225" s="3" t="s">
        <v>377</v>
      </c>
      <c r="B225" s="4">
        <v>45715</v>
      </c>
      <c r="C225" s="3" t="s">
        <v>266</v>
      </c>
      <c r="D225" s="3" t="s">
        <v>267</v>
      </c>
      <c r="E225" s="3" t="s">
        <v>38</v>
      </c>
      <c r="F225" s="3" t="s">
        <v>39</v>
      </c>
      <c r="G225" s="3" t="s">
        <v>40</v>
      </c>
      <c r="H225" s="3">
        <v>4</v>
      </c>
      <c r="I225" s="5">
        <v>59.99</v>
      </c>
      <c r="J225" s="3" t="s">
        <v>27</v>
      </c>
      <c r="K225" s="3" t="s">
        <v>57</v>
      </c>
      <c r="L225" s="3" t="s">
        <v>43</v>
      </c>
      <c r="M225" s="4">
        <v>45070</v>
      </c>
      <c r="N225" s="5">
        <v>239.96</v>
      </c>
      <c r="O225" s="6">
        <f t="shared" si="15"/>
        <v>45689</v>
      </c>
      <c r="P225" s="4">
        <f t="shared" si="16"/>
        <v>45716</v>
      </c>
      <c r="Q225" s="3">
        <f t="shared" si="17"/>
        <v>1</v>
      </c>
      <c r="R225" s="7">
        <f t="shared" ca="1" si="18"/>
        <v>609</v>
      </c>
      <c r="S225" s="3">
        <f t="shared" si="19"/>
        <v>3</v>
      </c>
      <c r="T225" s="3" t="str">
        <f>IF(COUNTIF($D$2:D225,D225)=1,"First","Repeat")</f>
        <v>Repeat</v>
      </c>
      <c r="U225" s="3" t="str">
        <f>IF(AND($K225=DateTime_Filter!$C$21,$N225&gt;=DateTime_Filter!$C$22),MAX(U$1:U224)+1,"")</f>
        <v/>
      </c>
    </row>
    <row r="226" spans="1:21" x14ac:dyDescent="0.35">
      <c r="A226" s="3" t="s">
        <v>378</v>
      </c>
      <c r="B226" s="4">
        <v>45718</v>
      </c>
      <c r="C226" s="3" t="s">
        <v>62</v>
      </c>
      <c r="D226" s="3" t="s">
        <v>63</v>
      </c>
      <c r="E226" s="3" t="s">
        <v>51</v>
      </c>
      <c r="F226" s="3" t="s">
        <v>52</v>
      </c>
      <c r="G226" s="3" t="s">
        <v>53</v>
      </c>
      <c r="H226" s="3">
        <v>2</v>
      </c>
      <c r="I226" s="5">
        <v>149.99</v>
      </c>
      <c r="J226" s="3" t="s">
        <v>27</v>
      </c>
      <c r="K226" s="3" t="s">
        <v>28</v>
      </c>
      <c r="L226" s="3" t="s">
        <v>29</v>
      </c>
      <c r="M226" s="4">
        <v>45068</v>
      </c>
      <c r="N226" s="5">
        <v>299.98</v>
      </c>
      <c r="O226" s="6">
        <f t="shared" si="15"/>
        <v>45717</v>
      </c>
      <c r="P226" s="4">
        <f t="shared" si="16"/>
        <v>45747</v>
      </c>
      <c r="Q226" s="3">
        <f t="shared" si="17"/>
        <v>1</v>
      </c>
      <c r="R226" s="7">
        <f t="shared" ca="1" si="18"/>
        <v>606</v>
      </c>
      <c r="S226" s="3">
        <f t="shared" si="19"/>
        <v>9</v>
      </c>
      <c r="T226" s="3" t="str">
        <f>IF(COUNTIF($D$2:D226,D226)=1,"First","Repeat")</f>
        <v>Repeat</v>
      </c>
      <c r="U226" s="3" t="str">
        <f>IF(AND($K226=DateTime_Filter!$C$21,$N226&gt;=DateTime_Filter!$C$22),MAX(U$1:U225)+1,"")</f>
        <v/>
      </c>
    </row>
    <row r="227" spans="1:21" x14ac:dyDescent="0.35">
      <c r="A227" s="3" t="s">
        <v>379</v>
      </c>
      <c r="B227" s="4">
        <v>45720</v>
      </c>
      <c r="C227" s="3" t="s">
        <v>233</v>
      </c>
      <c r="D227" s="3" t="s">
        <v>234</v>
      </c>
      <c r="E227" s="3" t="s">
        <v>87</v>
      </c>
      <c r="F227" s="3" t="s">
        <v>88</v>
      </c>
      <c r="G227" s="3" t="s">
        <v>26</v>
      </c>
      <c r="H227" s="3">
        <v>5</v>
      </c>
      <c r="I227" s="5">
        <v>699.99</v>
      </c>
      <c r="J227" s="3" t="s">
        <v>64</v>
      </c>
      <c r="K227" s="3" t="s">
        <v>70</v>
      </c>
      <c r="L227" s="3" t="s">
        <v>34</v>
      </c>
      <c r="M227" s="4">
        <v>45161</v>
      </c>
      <c r="N227" s="5">
        <v>3499.95</v>
      </c>
      <c r="O227" s="6">
        <f t="shared" si="15"/>
        <v>45717</v>
      </c>
      <c r="P227" s="4">
        <f t="shared" si="16"/>
        <v>45747</v>
      </c>
      <c r="Q227" s="3">
        <f t="shared" si="17"/>
        <v>1</v>
      </c>
      <c r="R227" s="7">
        <f t="shared" ca="1" si="18"/>
        <v>604</v>
      </c>
      <c r="S227" s="3">
        <f t="shared" si="19"/>
        <v>8</v>
      </c>
      <c r="T227" s="3" t="str">
        <f>IF(COUNTIF($D$2:D227,D227)=1,"First","Repeat")</f>
        <v>Repeat</v>
      </c>
      <c r="U227" s="3" t="str">
        <f>IF(AND($K227=DateTime_Filter!$C$21,$N227&gt;=DateTime_Filter!$C$22),MAX(U$1:U226)+1,"")</f>
        <v/>
      </c>
    </row>
    <row r="228" spans="1:21" x14ac:dyDescent="0.35">
      <c r="A228" s="3" t="s">
        <v>380</v>
      </c>
      <c r="B228" s="4">
        <v>45721</v>
      </c>
      <c r="C228" s="3" t="s">
        <v>82</v>
      </c>
      <c r="D228" s="3" t="s">
        <v>83</v>
      </c>
      <c r="E228" s="3" t="s">
        <v>38</v>
      </c>
      <c r="F228" s="3" t="s">
        <v>39</v>
      </c>
      <c r="G228" s="3" t="s">
        <v>40</v>
      </c>
      <c r="H228" s="3">
        <v>5</v>
      </c>
      <c r="I228" s="5">
        <v>59.99</v>
      </c>
      <c r="J228" s="3" t="s">
        <v>27</v>
      </c>
      <c r="K228" s="3" t="s">
        <v>57</v>
      </c>
      <c r="L228" s="3" t="s">
        <v>34</v>
      </c>
      <c r="M228" s="4">
        <v>45291</v>
      </c>
      <c r="N228" s="5">
        <v>299.95</v>
      </c>
      <c r="O228" s="6">
        <f t="shared" si="15"/>
        <v>45717</v>
      </c>
      <c r="P228" s="4">
        <f t="shared" si="16"/>
        <v>45747</v>
      </c>
      <c r="Q228" s="3">
        <f t="shared" si="17"/>
        <v>1</v>
      </c>
      <c r="R228" s="7">
        <f t="shared" ca="1" si="18"/>
        <v>603</v>
      </c>
      <c r="S228" s="3">
        <f t="shared" si="19"/>
        <v>2</v>
      </c>
      <c r="T228" s="3" t="str">
        <f>IF(COUNTIF($D$2:D228,D228)=1,"First","Repeat")</f>
        <v>Repeat</v>
      </c>
      <c r="U228" s="3" t="str">
        <f>IF(AND($K228=DateTime_Filter!$C$21,$N228&gt;=DateTime_Filter!$C$22),MAX(U$1:U227)+1,"")</f>
        <v/>
      </c>
    </row>
    <row r="229" spans="1:21" x14ac:dyDescent="0.35">
      <c r="A229" s="3" t="s">
        <v>381</v>
      </c>
      <c r="B229" s="4">
        <v>45723</v>
      </c>
      <c r="C229" s="3" t="s">
        <v>127</v>
      </c>
      <c r="D229" s="3" t="s">
        <v>128</v>
      </c>
      <c r="E229" s="3" t="s">
        <v>24</v>
      </c>
      <c r="F229" s="3" t="s">
        <v>25</v>
      </c>
      <c r="G229" s="3" t="s">
        <v>26</v>
      </c>
      <c r="H229" s="3">
        <v>5</v>
      </c>
      <c r="I229" s="5">
        <v>249.99</v>
      </c>
      <c r="J229" s="3" t="s">
        <v>27</v>
      </c>
      <c r="K229" s="3" t="s">
        <v>70</v>
      </c>
      <c r="L229" s="3" t="s">
        <v>43</v>
      </c>
      <c r="M229" s="4">
        <v>44540</v>
      </c>
      <c r="N229" s="5">
        <v>1249.95</v>
      </c>
      <c r="O229" s="6">
        <f t="shared" si="15"/>
        <v>45717</v>
      </c>
      <c r="P229" s="4">
        <f t="shared" si="16"/>
        <v>45747</v>
      </c>
      <c r="Q229" s="3">
        <f t="shared" si="17"/>
        <v>3</v>
      </c>
      <c r="R229" s="7">
        <f t="shared" ca="1" si="18"/>
        <v>601</v>
      </c>
      <c r="S229" s="3">
        <f t="shared" si="19"/>
        <v>7</v>
      </c>
      <c r="T229" s="3" t="str">
        <f>IF(COUNTIF($D$2:D229,D229)=1,"First","Repeat")</f>
        <v>Repeat</v>
      </c>
      <c r="U229" s="3" t="str">
        <f>IF(AND($K229=DateTime_Filter!$C$21,$N229&gt;=DateTime_Filter!$C$22),MAX(U$1:U228)+1,"")</f>
        <v/>
      </c>
    </row>
    <row r="230" spans="1:21" x14ac:dyDescent="0.35">
      <c r="A230" s="3" t="s">
        <v>382</v>
      </c>
      <c r="B230" s="4">
        <v>45723</v>
      </c>
      <c r="C230" s="3" t="s">
        <v>22</v>
      </c>
      <c r="D230" s="3" t="s">
        <v>23</v>
      </c>
      <c r="E230" s="3" t="s">
        <v>118</v>
      </c>
      <c r="F230" s="3" t="s">
        <v>119</v>
      </c>
      <c r="G230" s="3" t="s">
        <v>26</v>
      </c>
      <c r="H230" s="3">
        <v>2</v>
      </c>
      <c r="I230" s="5">
        <v>89.99</v>
      </c>
      <c r="J230" s="3" t="s">
        <v>33</v>
      </c>
      <c r="K230" s="3" t="s">
        <v>57</v>
      </c>
      <c r="L230" s="3" t="s">
        <v>34</v>
      </c>
      <c r="M230" s="4">
        <v>45295</v>
      </c>
      <c r="N230" s="5">
        <v>179.98</v>
      </c>
      <c r="O230" s="6">
        <f t="shared" si="15"/>
        <v>45717</v>
      </c>
      <c r="P230" s="4">
        <f t="shared" si="16"/>
        <v>45747</v>
      </c>
      <c r="Q230" s="3">
        <f t="shared" si="17"/>
        <v>1</v>
      </c>
      <c r="R230" s="7">
        <f t="shared" ca="1" si="18"/>
        <v>601</v>
      </c>
      <c r="S230" s="3">
        <f t="shared" si="19"/>
        <v>8</v>
      </c>
      <c r="T230" s="3" t="str">
        <f>IF(COUNTIF($D$2:D230,D230)=1,"First","Repeat")</f>
        <v>Repeat</v>
      </c>
      <c r="U230" s="3" t="str">
        <f>IF(AND($K230=DateTime_Filter!$C$21,$N230&gt;=DateTime_Filter!$C$22),MAX(U$1:U229)+1,"")</f>
        <v/>
      </c>
    </row>
    <row r="231" spans="1:21" x14ac:dyDescent="0.35">
      <c r="A231" s="3" t="s">
        <v>383</v>
      </c>
      <c r="B231" s="4">
        <v>45724</v>
      </c>
      <c r="C231" s="3" t="s">
        <v>151</v>
      </c>
      <c r="D231" s="3" t="s">
        <v>152</v>
      </c>
      <c r="E231" s="3" t="s">
        <v>68</v>
      </c>
      <c r="F231" s="3" t="s">
        <v>69</v>
      </c>
      <c r="G231" s="3" t="s">
        <v>26</v>
      </c>
      <c r="H231" s="3">
        <v>5</v>
      </c>
      <c r="I231" s="5">
        <v>899.99</v>
      </c>
      <c r="J231" s="3" t="s">
        <v>41</v>
      </c>
      <c r="K231" s="3" t="s">
        <v>70</v>
      </c>
      <c r="L231" s="3" t="s">
        <v>34</v>
      </c>
      <c r="M231" s="4">
        <v>45389</v>
      </c>
      <c r="N231" s="5">
        <v>4499.95</v>
      </c>
      <c r="O231" s="6">
        <f t="shared" si="15"/>
        <v>45717</v>
      </c>
      <c r="P231" s="4">
        <f t="shared" si="16"/>
        <v>45747</v>
      </c>
      <c r="Q231" s="3">
        <f t="shared" si="17"/>
        <v>0</v>
      </c>
      <c r="R231" s="7">
        <f t="shared" ca="1" si="18"/>
        <v>600</v>
      </c>
      <c r="S231" s="3">
        <f t="shared" si="19"/>
        <v>4</v>
      </c>
      <c r="T231" s="3" t="str">
        <f>IF(COUNTIF($D$2:D231,D231)=1,"First","Repeat")</f>
        <v>Repeat</v>
      </c>
      <c r="U231" s="3" t="str">
        <f>IF(AND($K231=DateTime_Filter!$C$21,$N231&gt;=DateTime_Filter!$C$22),MAX(U$1:U230)+1,"")</f>
        <v/>
      </c>
    </row>
    <row r="232" spans="1:21" x14ac:dyDescent="0.35">
      <c r="A232" s="3" t="s">
        <v>384</v>
      </c>
      <c r="B232" s="4">
        <v>45724</v>
      </c>
      <c r="C232" s="3" t="s">
        <v>233</v>
      </c>
      <c r="D232" s="3" t="s">
        <v>234</v>
      </c>
      <c r="E232" s="3" t="s">
        <v>51</v>
      </c>
      <c r="F232" s="3" t="s">
        <v>52</v>
      </c>
      <c r="G232" s="3" t="s">
        <v>53</v>
      </c>
      <c r="H232" s="3">
        <v>2</v>
      </c>
      <c r="I232" s="5">
        <v>149.99</v>
      </c>
      <c r="J232" s="3" t="s">
        <v>41</v>
      </c>
      <c r="K232" s="3" t="s">
        <v>28</v>
      </c>
      <c r="L232" s="3" t="s">
        <v>34</v>
      </c>
      <c r="M232" s="4">
        <v>44632</v>
      </c>
      <c r="N232" s="5">
        <v>299.98</v>
      </c>
      <c r="O232" s="6">
        <f t="shared" si="15"/>
        <v>45717</v>
      </c>
      <c r="P232" s="4">
        <f t="shared" si="16"/>
        <v>45747</v>
      </c>
      <c r="Q232" s="3">
        <f t="shared" si="17"/>
        <v>2</v>
      </c>
      <c r="R232" s="7">
        <f t="shared" ca="1" si="18"/>
        <v>600</v>
      </c>
      <c r="S232" s="3">
        <f t="shared" si="19"/>
        <v>8</v>
      </c>
      <c r="T232" s="3" t="str">
        <f>IF(COUNTIF($D$2:D232,D232)=1,"First","Repeat")</f>
        <v>Repeat</v>
      </c>
      <c r="U232" s="3" t="str">
        <f>IF(AND($K232=DateTime_Filter!$C$21,$N232&gt;=DateTime_Filter!$C$22),MAX(U$1:U231)+1,"")</f>
        <v/>
      </c>
    </row>
    <row r="233" spans="1:21" x14ac:dyDescent="0.35">
      <c r="A233" s="3" t="s">
        <v>385</v>
      </c>
      <c r="B233" s="4">
        <v>45724</v>
      </c>
      <c r="C233" s="3" t="s">
        <v>62</v>
      </c>
      <c r="D233" s="3" t="s">
        <v>63</v>
      </c>
      <c r="E233" s="3" t="s">
        <v>51</v>
      </c>
      <c r="F233" s="3" t="s">
        <v>52</v>
      </c>
      <c r="G233" s="3" t="s">
        <v>53</v>
      </c>
      <c r="H233" s="3">
        <v>4</v>
      </c>
      <c r="I233" s="5">
        <v>149.99</v>
      </c>
      <c r="J233" s="3" t="s">
        <v>27</v>
      </c>
      <c r="K233" s="3" t="s">
        <v>28</v>
      </c>
      <c r="L233" s="3" t="s">
        <v>43</v>
      </c>
      <c r="M233" s="4">
        <v>45263</v>
      </c>
      <c r="N233" s="5">
        <v>599.96</v>
      </c>
      <c r="O233" s="6">
        <f t="shared" si="15"/>
        <v>45717</v>
      </c>
      <c r="P233" s="4">
        <f t="shared" si="16"/>
        <v>45747</v>
      </c>
      <c r="Q233" s="3">
        <f t="shared" si="17"/>
        <v>1</v>
      </c>
      <c r="R233" s="7">
        <f t="shared" ca="1" si="18"/>
        <v>600</v>
      </c>
      <c r="S233" s="3">
        <f t="shared" si="19"/>
        <v>9</v>
      </c>
      <c r="T233" s="3" t="str">
        <f>IF(COUNTIF($D$2:D233,D233)=1,"First","Repeat")</f>
        <v>Repeat</v>
      </c>
      <c r="U233" s="3" t="str">
        <f>IF(AND($K233=DateTime_Filter!$C$21,$N233&gt;=DateTime_Filter!$C$22),MAX(U$1:U232)+1,"")</f>
        <v/>
      </c>
    </row>
    <row r="234" spans="1:21" x14ac:dyDescent="0.35">
      <c r="A234" s="3" t="s">
        <v>386</v>
      </c>
      <c r="B234" s="4">
        <v>45726</v>
      </c>
      <c r="C234" s="3" t="s">
        <v>151</v>
      </c>
      <c r="D234" s="3" t="s">
        <v>152</v>
      </c>
      <c r="E234" s="3" t="s">
        <v>24</v>
      </c>
      <c r="F234" s="3" t="s">
        <v>25</v>
      </c>
      <c r="G234" s="3" t="s">
        <v>26</v>
      </c>
      <c r="H234" s="3">
        <v>1</v>
      </c>
      <c r="I234" s="5">
        <v>249.99</v>
      </c>
      <c r="J234" s="3" t="s">
        <v>27</v>
      </c>
      <c r="K234" s="3" t="s">
        <v>47</v>
      </c>
      <c r="L234" s="3" t="s">
        <v>43</v>
      </c>
      <c r="M234" s="4">
        <v>45117</v>
      </c>
      <c r="N234" s="5">
        <v>249.99</v>
      </c>
      <c r="O234" s="6">
        <f t="shared" si="15"/>
        <v>45717</v>
      </c>
      <c r="P234" s="4">
        <f t="shared" si="16"/>
        <v>45747</v>
      </c>
      <c r="Q234" s="3">
        <f t="shared" si="17"/>
        <v>1</v>
      </c>
      <c r="R234" s="7">
        <f t="shared" ca="1" si="18"/>
        <v>598</v>
      </c>
      <c r="S234" s="3">
        <f t="shared" si="19"/>
        <v>4</v>
      </c>
      <c r="T234" s="3" t="str">
        <f>IF(COUNTIF($D$2:D234,D234)=1,"First","Repeat")</f>
        <v>Repeat</v>
      </c>
      <c r="U234" s="3" t="str">
        <f>IF(AND($K234=DateTime_Filter!$C$21,$N234&gt;=DateTime_Filter!$C$22),MAX(U$1:U233)+1,"")</f>
        <v/>
      </c>
    </row>
    <row r="235" spans="1:21" x14ac:dyDescent="0.35">
      <c r="A235" s="3" t="s">
        <v>387</v>
      </c>
      <c r="B235" s="4">
        <v>45734</v>
      </c>
      <c r="C235" s="3" t="s">
        <v>199</v>
      </c>
      <c r="D235" s="3" t="s">
        <v>200</v>
      </c>
      <c r="E235" s="3" t="s">
        <v>38</v>
      </c>
      <c r="F235" s="3" t="s">
        <v>39</v>
      </c>
      <c r="G235" s="3" t="s">
        <v>40</v>
      </c>
      <c r="H235" s="3">
        <v>2</v>
      </c>
      <c r="I235" s="5">
        <v>59.99</v>
      </c>
      <c r="J235" s="3" t="s">
        <v>33</v>
      </c>
      <c r="K235" s="3" t="s">
        <v>57</v>
      </c>
      <c r="L235" s="3" t="s">
        <v>29</v>
      </c>
      <c r="M235" s="4">
        <v>45193</v>
      </c>
      <c r="N235" s="5">
        <v>119.98</v>
      </c>
      <c r="O235" s="6">
        <f t="shared" si="15"/>
        <v>45717</v>
      </c>
      <c r="P235" s="4">
        <f t="shared" si="16"/>
        <v>45747</v>
      </c>
      <c r="Q235" s="3">
        <f t="shared" si="17"/>
        <v>1</v>
      </c>
      <c r="R235" s="7">
        <f t="shared" ca="1" si="18"/>
        <v>590</v>
      </c>
      <c r="S235" s="3">
        <f t="shared" si="19"/>
        <v>5</v>
      </c>
      <c r="T235" s="3" t="str">
        <f>IF(COUNTIF($D$2:D235,D235)=1,"First","Repeat")</f>
        <v>Repeat</v>
      </c>
      <c r="U235" s="3" t="str">
        <f>IF(AND($K235=DateTime_Filter!$C$21,$N235&gt;=DateTime_Filter!$C$22),MAX(U$1:U234)+1,"")</f>
        <v/>
      </c>
    </row>
    <row r="236" spans="1:21" x14ac:dyDescent="0.35">
      <c r="A236" s="3" t="s">
        <v>388</v>
      </c>
      <c r="B236" s="4">
        <v>45737</v>
      </c>
      <c r="C236" s="3" t="s">
        <v>139</v>
      </c>
      <c r="D236" s="3" t="s">
        <v>140</v>
      </c>
      <c r="E236" s="3" t="s">
        <v>51</v>
      </c>
      <c r="F236" s="3" t="s">
        <v>52</v>
      </c>
      <c r="G236" s="3" t="s">
        <v>53</v>
      </c>
      <c r="H236" s="3">
        <v>2</v>
      </c>
      <c r="I236" s="5">
        <v>149.99</v>
      </c>
      <c r="J236" s="3" t="s">
        <v>27</v>
      </c>
      <c r="K236" s="3" t="s">
        <v>57</v>
      </c>
      <c r="L236" s="3" t="s">
        <v>34</v>
      </c>
      <c r="M236" s="4">
        <v>45233</v>
      </c>
      <c r="N236" s="5">
        <v>299.98</v>
      </c>
      <c r="O236" s="6">
        <f t="shared" si="15"/>
        <v>45717</v>
      </c>
      <c r="P236" s="4">
        <f t="shared" si="16"/>
        <v>45747</v>
      </c>
      <c r="Q236" s="3">
        <f t="shared" si="17"/>
        <v>1</v>
      </c>
      <c r="R236" s="7">
        <f t="shared" ca="1" si="18"/>
        <v>587</v>
      </c>
      <c r="S236" s="3">
        <f t="shared" si="19"/>
        <v>5</v>
      </c>
      <c r="T236" s="3" t="str">
        <f>IF(COUNTIF($D$2:D236,D236)=1,"First","Repeat")</f>
        <v>Repeat</v>
      </c>
      <c r="U236" s="3" t="str">
        <f>IF(AND($K236=DateTime_Filter!$C$21,$N236&gt;=DateTime_Filter!$C$22),MAX(U$1:U235)+1,"")</f>
        <v/>
      </c>
    </row>
    <row r="237" spans="1:21" x14ac:dyDescent="0.35">
      <c r="A237" s="3" t="s">
        <v>389</v>
      </c>
      <c r="B237" s="4">
        <v>45737</v>
      </c>
      <c r="C237" s="3" t="s">
        <v>55</v>
      </c>
      <c r="D237" s="3" t="s">
        <v>56</v>
      </c>
      <c r="E237" s="3" t="s">
        <v>68</v>
      </c>
      <c r="F237" s="3" t="s">
        <v>69</v>
      </c>
      <c r="G237" s="3" t="s">
        <v>26</v>
      </c>
      <c r="H237" s="3">
        <v>3</v>
      </c>
      <c r="I237" s="5">
        <v>899.99</v>
      </c>
      <c r="J237" s="3" t="s">
        <v>41</v>
      </c>
      <c r="K237" s="3" t="s">
        <v>47</v>
      </c>
      <c r="L237" s="3" t="s">
        <v>29</v>
      </c>
      <c r="M237" s="4">
        <v>44975</v>
      </c>
      <c r="N237" s="5">
        <v>2699.97</v>
      </c>
      <c r="O237" s="6">
        <f t="shared" si="15"/>
        <v>45717</v>
      </c>
      <c r="P237" s="4">
        <f t="shared" si="16"/>
        <v>45747</v>
      </c>
      <c r="Q237" s="3">
        <f t="shared" si="17"/>
        <v>2</v>
      </c>
      <c r="R237" s="7">
        <f t="shared" ca="1" si="18"/>
        <v>587</v>
      </c>
      <c r="S237" s="3">
        <f t="shared" si="19"/>
        <v>6</v>
      </c>
      <c r="T237" s="3" t="str">
        <f>IF(COUNTIF($D$2:D237,D237)=1,"First","Repeat")</f>
        <v>Repeat</v>
      </c>
      <c r="U237" s="3">
        <f>IF(AND($K237=DateTime_Filter!$C$21,$N237&gt;=DateTime_Filter!$C$22),MAX(U$1:U236)+1,"")</f>
        <v>11</v>
      </c>
    </row>
    <row r="238" spans="1:21" x14ac:dyDescent="0.35">
      <c r="A238" s="3" t="s">
        <v>390</v>
      </c>
      <c r="B238" s="4">
        <v>45737</v>
      </c>
      <c r="C238" s="3" t="s">
        <v>158</v>
      </c>
      <c r="D238" s="3" t="s">
        <v>159</v>
      </c>
      <c r="E238" s="3" t="s">
        <v>68</v>
      </c>
      <c r="F238" s="3" t="s">
        <v>69</v>
      </c>
      <c r="G238" s="3" t="s">
        <v>26</v>
      </c>
      <c r="H238" s="3">
        <v>3</v>
      </c>
      <c r="I238" s="5">
        <v>899.99</v>
      </c>
      <c r="J238" s="3" t="s">
        <v>64</v>
      </c>
      <c r="K238" s="3" t="s">
        <v>47</v>
      </c>
      <c r="L238" s="3" t="s">
        <v>34</v>
      </c>
      <c r="M238" s="4">
        <v>44876</v>
      </c>
      <c r="N238" s="5">
        <v>2699.97</v>
      </c>
      <c r="O238" s="6">
        <f t="shared" si="15"/>
        <v>45717</v>
      </c>
      <c r="P238" s="4">
        <f t="shared" si="16"/>
        <v>45747</v>
      </c>
      <c r="Q238" s="3">
        <f t="shared" si="17"/>
        <v>2</v>
      </c>
      <c r="R238" s="7">
        <f t="shared" ca="1" si="18"/>
        <v>587</v>
      </c>
      <c r="S238" s="3">
        <f t="shared" si="19"/>
        <v>6</v>
      </c>
      <c r="T238" s="3" t="str">
        <f>IF(COUNTIF($D$2:D238,D238)=1,"First","Repeat")</f>
        <v>Repeat</v>
      </c>
      <c r="U238" s="3">
        <f>IF(AND($K238=DateTime_Filter!$C$21,$N238&gt;=DateTime_Filter!$C$22),MAX(U$1:U237)+1,"")</f>
        <v>12</v>
      </c>
    </row>
    <row r="239" spans="1:21" x14ac:dyDescent="0.35">
      <c r="A239" s="3" t="s">
        <v>391</v>
      </c>
      <c r="B239" s="4">
        <v>45739</v>
      </c>
      <c r="C239" s="3" t="s">
        <v>22</v>
      </c>
      <c r="D239" s="3" t="s">
        <v>23</v>
      </c>
      <c r="E239" s="3" t="s">
        <v>112</v>
      </c>
      <c r="F239" s="3" t="s">
        <v>113</v>
      </c>
      <c r="G239" s="3" t="s">
        <v>53</v>
      </c>
      <c r="H239" s="3">
        <v>3</v>
      </c>
      <c r="I239" s="5">
        <v>299.99</v>
      </c>
      <c r="J239" s="3" t="s">
        <v>33</v>
      </c>
      <c r="K239" s="3" t="s">
        <v>57</v>
      </c>
      <c r="L239" s="3" t="s">
        <v>34</v>
      </c>
      <c r="M239" s="4">
        <v>45234</v>
      </c>
      <c r="N239" s="5">
        <v>899.97</v>
      </c>
      <c r="O239" s="6">
        <f t="shared" si="15"/>
        <v>45717</v>
      </c>
      <c r="P239" s="4">
        <f t="shared" si="16"/>
        <v>45747</v>
      </c>
      <c r="Q239" s="3">
        <f t="shared" si="17"/>
        <v>1</v>
      </c>
      <c r="R239" s="7">
        <f t="shared" ca="1" si="18"/>
        <v>585</v>
      </c>
      <c r="S239" s="3">
        <f t="shared" si="19"/>
        <v>8</v>
      </c>
      <c r="T239" s="3" t="str">
        <f>IF(COUNTIF($D$2:D239,D239)=1,"First","Repeat")</f>
        <v>Repeat</v>
      </c>
      <c r="U239" s="3" t="str">
        <f>IF(AND($K239=DateTime_Filter!$C$21,$N239&gt;=DateTime_Filter!$C$22),MAX(U$1:U238)+1,"")</f>
        <v/>
      </c>
    </row>
    <row r="240" spans="1:21" x14ac:dyDescent="0.35">
      <c r="A240" s="3" t="s">
        <v>392</v>
      </c>
      <c r="B240" s="4">
        <v>45740</v>
      </c>
      <c r="C240" s="3" t="s">
        <v>393</v>
      </c>
      <c r="D240" s="3" t="s">
        <v>394</v>
      </c>
      <c r="E240" s="3" t="s">
        <v>51</v>
      </c>
      <c r="F240" s="3" t="s">
        <v>52</v>
      </c>
      <c r="G240" s="3" t="s">
        <v>53</v>
      </c>
      <c r="H240" s="3">
        <v>4</v>
      </c>
      <c r="I240" s="5">
        <v>149.99</v>
      </c>
      <c r="J240" s="3" t="s">
        <v>41</v>
      </c>
      <c r="K240" s="3" t="s">
        <v>57</v>
      </c>
      <c r="L240" s="3" t="s">
        <v>43</v>
      </c>
      <c r="M240" s="4">
        <v>44560</v>
      </c>
      <c r="N240" s="5">
        <v>599.96</v>
      </c>
      <c r="O240" s="6">
        <f t="shared" si="15"/>
        <v>45717</v>
      </c>
      <c r="P240" s="4">
        <f t="shared" si="16"/>
        <v>45747</v>
      </c>
      <c r="Q240" s="3">
        <f t="shared" si="17"/>
        <v>3</v>
      </c>
      <c r="R240" s="7">
        <f t="shared" ca="1" si="18"/>
        <v>584</v>
      </c>
      <c r="S240" s="3">
        <f t="shared" si="19"/>
        <v>1</v>
      </c>
      <c r="T240" s="3" t="str">
        <f>IF(COUNTIF($D$2:D240,D240)=1,"First","Repeat")</f>
        <v>First</v>
      </c>
      <c r="U240" s="3" t="str">
        <f>IF(AND($K240=DateTime_Filter!$C$21,$N240&gt;=DateTime_Filter!$C$22),MAX(U$1:U239)+1,"")</f>
        <v/>
      </c>
    </row>
    <row r="241" spans="1:21" x14ac:dyDescent="0.35">
      <c r="A241" s="3" t="s">
        <v>395</v>
      </c>
      <c r="B241" s="4">
        <v>45743</v>
      </c>
      <c r="C241" s="3" t="s">
        <v>109</v>
      </c>
      <c r="D241" s="3" t="s">
        <v>110</v>
      </c>
      <c r="E241" s="3" t="s">
        <v>124</v>
      </c>
      <c r="F241" s="3" t="s">
        <v>125</v>
      </c>
      <c r="G241" s="3" t="s">
        <v>40</v>
      </c>
      <c r="H241" s="3">
        <v>4</v>
      </c>
      <c r="I241" s="5">
        <v>79.989999999999995</v>
      </c>
      <c r="J241" s="3" t="s">
        <v>33</v>
      </c>
      <c r="K241" s="3" t="s">
        <v>28</v>
      </c>
      <c r="L241" s="3" t="s">
        <v>29</v>
      </c>
      <c r="M241" s="4">
        <v>45288</v>
      </c>
      <c r="N241" s="5">
        <v>319.95999999999998</v>
      </c>
      <c r="O241" s="6">
        <f t="shared" si="15"/>
        <v>45717</v>
      </c>
      <c r="P241" s="4">
        <f t="shared" si="16"/>
        <v>45747</v>
      </c>
      <c r="Q241" s="3">
        <f t="shared" si="17"/>
        <v>1</v>
      </c>
      <c r="R241" s="7">
        <f t="shared" ca="1" si="18"/>
        <v>581</v>
      </c>
      <c r="S241" s="3">
        <f t="shared" si="19"/>
        <v>5</v>
      </c>
      <c r="T241" s="3" t="str">
        <f>IF(COUNTIF($D$2:D241,D241)=1,"First","Repeat")</f>
        <v>Repeat</v>
      </c>
      <c r="U241" s="3" t="str">
        <f>IF(AND($K241=DateTime_Filter!$C$21,$N241&gt;=DateTime_Filter!$C$22),MAX(U$1:U240)+1,"")</f>
        <v/>
      </c>
    </row>
    <row r="242" spans="1:21" x14ac:dyDescent="0.35">
      <c r="A242" s="3" t="s">
        <v>396</v>
      </c>
      <c r="B242" s="4">
        <v>45745</v>
      </c>
      <c r="C242" s="3" t="s">
        <v>192</v>
      </c>
      <c r="D242" s="3" t="s">
        <v>193</v>
      </c>
      <c r="E242" s="3" t="s">
        <v>118</v>
      </c>
      <c r="F242" s="3" t="s">
        <v>119</v>
      </c>
      <c r="G242" s="3" t="s">
        <v>26</v>
      </c>
      <c r="H242" s="3">
        <v>5</v>
      </c>
      <c r="I242" s="5">
        <v>89.99</v>
      </c>
      <c r="J242" s="3" t="s">
        <v>41</v>
      </c>
      <c r="K242" s="3" t="s">
        <v>42</v>
      </c>
      <c r="L242" s="3" t="s">
        <v>29</v>
      </c>
      <c r="M242" s="4">
        <v>44704</v>
      </c>
      <c r="N242" s="5">
        <v>449.95</v>
      </c>
      <c r="O242" s="6">
        <f t="shared" si="15"/>
        <v>45717</v>
      </c>
      <c r="P242" s="4">
        <f t="shared" si="16"/>
        <v>45747</v>
      </c>
      <c r="Q242" s="3">
        <f t="shared" si="17"/>
        <v>2</v>
      </c>
      <c r="R242" s="7">
        <f t="shared" ca="1" si="18"/>
        <v>579</v>
      </c>
      <c r="S242" s="3">
        <f t="shared" si="19"/>
        <v>4</v>
      </c>
      <c r="T242" s="3" t="str">
        <f>IF(COUNTIF($D$2:D242,D242)=1,"First","Repeat")</f>
        <v>Repeat</v>
      </c>
      <c r="U242" s="3" t="str">
        <f>IF(AND($K242=DateTime_Filter!$C$21,$N242&gt;=DateTime_Filter!$C$22),MAX(U$1:U241)+1,"")</f>
        <v/>
      </c>
    </row>
    <row r="243" spans="1:21" x14ac:dyDescent="0.35">
      <c r="A243" s="3" t="s">
        <v>397</v>
      </c>
      <c r="B243" s="4">
        <v>45746</v>
      </c>
      <c r="C243" s="3" t="s">
        <v>100</v>
      </c>
      <c r="D243" s="3" t="s">
        <v>101</v>
      </c>
      <c r="E243" s="3" t="s">
        <v>51</v>
      </c>
      <c r="F243" s="3" t="s">
        <v>52</v>
      </c>
      <c r="G243" s="3" t="s">
        <v>53</v>
      </c>
      <c r="H243" s="3">
        <v>3</v>
      </c>
      <c r="I243" s="5">
        <v>149.99</v>
      </c>
      <c r="J243" s="3" t="s">
        <v>41</v>
      </c>
      <c r="K243" s="3" t="s">
        <v>28</v>
      </c>
      <c r="L243" s="3" t="s">
        <v>43</v>
      </c>
      <c r="M243" s="4">
        <v>45171</v>
      </c>
      <c r="N243" s="5">
        <v>449.97</v>
      </c>
      <c r="O243" s="6">
        <f t="shared" si="15"/>
        <v>45717</v>
      </c>
      <c r="P243" s="4">
        <f t="shared" si="16"/>
        <v>45747</v>
      </c>
      <c r="Q243" s="3">
        <f t="shared" si="17"/>
        <v>1</v>
      </c>
      <c r="R243" s="7">
        <f t="shared" ca="1" si="18"/>
        <v>578</v>
      </c>
      <c r="S243" s="3">
        <f t="shared" si="19"/>
        <v>6</v>
      </c>
      <c r="T243" s="3" t="str">
        <f>IF(COUNTIF($D$2:D243,D243)=1,"First","Repeat")</f>
        <v>Repeat</v>
      </c>
      <c r="U243" s="3" t="str">
        <f>IF(AND($K243=DateTime_Filter!$C$21,$N243&gt;=DateTime_Filter!$C$22),MAX(U$1:U242)+1,"")</f>
        <v/>
      </c>
    </row>
    <row r="244" spans="1:21" x14ac:dyDescent="0.35">
      <c r="A244" s="3" t="s">
        <v>398</v>
      </c>
      <c r="B244" s="4">
        <v>45746</v>
      </c>
      <c r="C244" s="3" t="s">
        <v>75</v>
      </c>
      <c r="D244" s="3" t="s">
        <v>76</v>
      </c>
      <c r="E244" s="3" t="s">
        <v>118</v>
      </c>
      <c r="F244" s="3" t="s">
        <v>119</v>
      </c>
      <c r="G244" s="3" t="s">
        <v>26</v>
      </c>
      <c r="H244" s="3">
        <v>2</v>
      </c>
      <c r="I244" s="5">
        <v>89.99</v>
      </c>
      <c r="J244" s="3" t="s">
        <v>64</v>
      </c>
      <c r="K244" s="3" t="s">
        <v>57</v>
      </c>
      <c r="L244" s="3" t="s">
        <v>34</v>
      </c>
      <c r="M244" s="4">
        <v>44522</v>
      </c>
      <c r="N244" s="5">
        <v>179.98</v>
      </c>
      <c r="O244" s="6">
        <f t="shared" si="15"/>
        <v>45717</v>
      </c>
      <c r="P244" s="4">
        <f t="shared" si="16"/>
        <v>45747</v>
      </c>
      <c r="Q244" s="3">
        <f t="shared" si="17"/>
        <v>3</v>
      </c>
      <c r="R244" s="7">
        <f t="shared" ca="1" si="18"/>
        <v>578</v>
      </c>
      <c r="S244" s="3">
        <f t="shared" si="19"/>
        <v>8</v>
      </c>
      <c r="T244" s="3" t="str">
        <f>IF(COUNTIF($D$2:D244,D244)=1,"First","Repeat")</f>
        <v>Repeat</v>
      </c>
      <c r="U244" s="3" t="str">
        <f>IF(AND($K244=DateTime_Filter!$C$21,$N244&gt;=DateTime_Filter!$C$22),MAX(U$1:U243)+1,"")</f>
        <v/>
      </c>
    </row>
    <row r="245" spans="1:21" x14ac:dyDescent="0.35">
      <c r="A245" s="3" t="s">
        <v>399</v>
      </c>
      <c r="B245" s="4">
        <v>45748</v>
      </c>
      <c r="C245" s="3" t="s">
        <v>109</v>
      </c>
      <c r="D245" s="3" t="s">
        <v>110</v>
      </c>
      <c r="E245" s="3" t="s">
        <v>87</v>
      </c>
      <c r="F245" s="3" t="s">
        <v>88</v>
      </c>
      <c r="G245" s="3" t="s">
        <v>26</v>
      </c>
      <c r="H245" s="3">
        <v>2</v>
      </c>
      <c r="I245" s="5">
        <v>699.99</v>
      </c>
      <c r="J245" s="3" t="s">
        <v>41</v>
      </c>
      <c r="K245" s="3" t="s">
        <v>47</v>
      </c>
      <c r="L245" s="3" t="s">
        <v>43</v>
      </c>
      <c r="M245" s="4">
        <v>44618</v>
      </c>
      <c r="N245" s="5">
        <v>1399.98</v>
      </c>
      <c r="O245" s="6">
        <f t="shared" si="15"/>
        <v>45748</v>
      </c>
      <c r="P245" s="4">
        <f t="shared" si="16"/>
        <v>45777</v>
      </c>
      <c r="Q245" s="3">
        <f t="shared" si="17"/>
        <v>3</v>
      </c>
      <c r="R245" s="7">
        <f t="shared" ca="1" si="18"/>
        <v>576</v>
      </c>
      <c r="S245" s="3">
        <f t="shared" si="19"/>
        <v>5</v>
      </c>
      <c r="T245" s="3" t="str">
        <f>IF(COUNTIF($D$2:D245,D245)=1,"First","Repeat")</f>
        <v>Repeat</v>
      </c>
      <c r="U245" s="3">
        <f>IF(AND($K245=DateTime_Filter!$C$21,$N245&gt;=DateTime_Filter!$C$22),MAX(U$1:U244)+1,"")</f>
        <v>13</v>
      </c>
    </row>
    <row r="246" spans="1:21" x14ac:dyDescent="0.35">
      <c r="A246" s="3" t="s">
        <v>400</v>
      </c>
      <c r="B246" s="4">
        <v>45749</v>
      </c>
      <c r="C246" s="3" t="s">
        <v>133</v>
      </c>
      <c r="D246" s="3" t="s">
        <v>134</v>
      </c>
      <c r="E246" s="3" t="s">
        <v>68</v>
      </c>
      <c r="F246" s="3" t="s">
        <v>69</v>
      </c>
      <c r="G246" s="3" t="s">
        <v>26</v>
      </c>
      <c r="H246" s="3">
        <v>3</v>
      </c>
      <c r="I246" s="5">
        <v>899.99</v>
      </c>
      <c r="J246" s="3" t="s">
        <v>27</v>
      </c>
      <c r="K246" s="3" t="s">
        <v>28</v>
      </c>
      <c r="L246" s="3" t="s">
        <v>43</v>
      </c>
      <c r="M246" s="4">
        <v>44953</v>
      </c>
      <c r="N246" s="5">
        <v>2699.97</v>
      </c>
      <c r="O246" s="6">
        <f t="shared" si="15"/>
        <v>45748</v>
      </c>
      <c r="P246" s="4">
        <f t="shared" si="16"/>
        <v>45777</v>
      </c>
      <c r="Q246" s="3">
        <f t="shared" si="17"/>
        <v>2</v>
      </c>
      <c r="R246" s="7">
        <f t="shared" ca="1" si="18"/>
        <v>575</v>
      </c>
      <c r="S246" s="3">
        <f t="shared" si="19"/>
        <v>6</v>
      </c>
      <c r="T246" s="3" t="str">
        <f>IF(COUNTIF($D$2:D246,D246)=1,"First","Repeat")</f>
        <v>Repeat</v>
      </c>
      <c r="U246" s="3" t="str">
        <f>IF(AND($K246=DateTime_Filter!$C$21,$N246&gt;=DateTime_Filter!$C$22),MAX(U$1:U245)+1,"")</f>
        <v/>
      </c>
    </row>
    <row r="247" spans="1:21" x14ac:dyDescent="0.35">
      <c r="A247" s="3" t="s">
        <v>401</v>
      </c>
      <c r="B247" s="4">
        <v>45755</v>
      </c>
      <c r="C247" s="3" t="s">
        <v>100</v>
      </c>
      <c r="D247" s="3" t="s">
        <v>101</v>
      </c>
      <c r="E247" s="3" t="s">
        <v>124</v>
      </c>
      <c r="F247" s="3" t="s">
        <v>125</v>
      </c>
      <c r="G247" s="3" t="s">
        <v>40</v>
      </c>
      <c r="H247" s="3">
        <v>3</v>
      </c>
      <c r="I247" s="5">
        <v>79.989999999999995</v>
      </c>
      <c r="J247" s="3" t="s">
        <v>33</v>
      </c>
      <c r="K247" s="3" t="s">
        <v>47</v>
      </c>
      <c r="L247" s="3" t="s">
        <v>29</v>
      </c>
      <c r="M247" s="4">
        <v>44511</v>
      </c>
      <c r="N247" s="5">
        <v>239.97</v>
      </c>
      <c r="O247" s="6">
        <f t="shared" si="15"/>
        <v>45748</v>
      </c>
      <c r="P247" s="4">
        <f t="shared" si="16"/>
        <v>45777</v>
      </c>
      <c r="Q247" s="3">
        <f t="shared" si="17"/>
        <v>3</v>
      </c>
      <c r="R247" s="7">
        <f t="shared" ca="1" si="18"/>
        <v>569</v>
      </c>
      <c r="S247" s="3">
        <f t="shared" si="19"/>
        <v>6</v>
      </c>
      <c r="T247" s="3" t="str">
        <f>IF(COUNTIF($D$2:D247,D247)=1,"First","Repeat")</f>
        <v>Repeat</v>
      </c>
      <c r="U247" s="3" t="str">
        <f>IF(AND($K247=DateTime_Filter!$C$21,$N247&gt;=DateTime_Filter!$C$22),MAX(U$1:U246)+1,"")</f>
        <v/>
      </c>
    </row>
    <row r="248" spans="1:21" x14ac:dyDescent="0.35">
      <c r="A248" s="3" t="s">
        <v>402</v>
      </c>
      <c r="B248" s="4">
        <v>45756</v>
      </c>
      <c r="C248" s="3" t="s">
        <v>66</v>
      </c>
      <c r="D248" s="3" t="s">
        <v>67</v>
      </c>
      <c r="E248" s="3" t="s">
        <v>118</v>
      </c>
      <c r="F248" s="3" t="s">
        <v>119</v>
      </c>
      <c r="G248" s="3" t="s">
        <v>26</v>
      </c>
      <c r="H248" s="3">
        <v>1</v>
      </c>
      <c r="I248" s="5">
        <v>89.99</v>
      </c>
      <c r="J248" s="3" t="s">
        <v>64</v>
      </c>
      <c r="K248" s="3" t="s">
        <v>70</v>
      </c>
      <c r="L248" s="3" t="s">
        <v>29</v>
      </c>
      <c r="M248" s="4">
        <v>45346</v>
      </c>
      <c r="N248" s="5">
        <v>89.99</v>
      </c>
      <c r="O248" s="6">
        <f t="shared" si="15"/>
        <v>45748</v>
      </c>
      <c r="P248" s="4">
        <f t="shared" si="16"/>
        <v>45777</v>
      </c>
      <c r="Q248" s="3">
        <f t="shared" si="17"/>
        <v>1</v>
      </c>
      <c r="R248" s="7">
        <f t="shared" ca="1" si="18"/>
        <v>568</v>
      </c>
      <c r="S248" s="3">
        <f t="shared" si="19"/>
        <v>5</v>
      </c>
      <c r="T248" s="3" t="str">
        <f>IF(COUNTIF($D$2:D248,D248)=1,"First","Repeat")</f>
        <v>Repeat</v>
      </c>
      <c r="U248" s="3" t="str">
        <f>IF(AND($K248=DateTime_Filter!$C$21,$N248&gt;=DateTime_Filter!$C$22),MAX(U$1:U247)+1,"")</f>
        <v/>
      </c>
    </row>
    <row r="249" spans="1:21" x14ac:dyDescent="0.35">
      <c r="A249" s="3" t="s">
        <v>403</v>
      </c>
      <c r="B249" s="4">
        <v>45758</v>
      </c>
      <c r="C249" s="3" t="s">
        <v>145</v>
      </c>
      <c r="D249" s="3" t="s">
        <v>146</v>
      </c>
      <c r="E249" s="3" t="s">
        <v>118</v>
      </c>
      <c r="F249" s="3" t="s">
        <v>119</v>
      </c>
      <c r="G249" s="3" t="s">
        <v>26</v>
      </c>
      <c r="H249" s="3">
        <v>3</v>
      </c>
      <c r="I249" s="5">
        <v>89.99</v>
      </c>
      <c r="J249" s="3" t="s">
        <v>64</v>
      </c>
      <c r="K249" s="3" t="s">
        <v>47</v>
      </c>
      <c r="L249" s="3" t="s">
        <v>34</v>
      </c>
      <c r="M249" s="4">
        <v>44878</v>
      </c>
      <c r="N249" s="5">
        <v>269.97000000000003</v>
      </c>
      <c r="O249" s="6">
        <f t="shared" si="15"/>
        <v>45748</v>
      </c>
      <c r="P249" s="4">
        <f t="shared" si="16"/>
        <v>45777</v>
      </c>
      <c r="Q249" s="3">
        <f t="shared" si="17"/>
        <v>2</v>
      </c>
      <c r="R249" s="7">
        <f t="shared" ca="1" si="18"/>
        <v>566</v>
      </c>
      <c r="S249" s="3">
        <f t="shared" si="19"/>
        <v>6</v>
      </c>
      <c r="T249" s="3" t="str">
        <f>IF(COUNTIF($D$2:D249,D249)=1,"First","Repeat")</f>
        <v>Repeat</v>
      </c>
      <c r="U249" s="3" t="str">
        <f>IF(AND($K249=DateTime_Filter!$C$21,$N249&gt;=DateTime_Filter!$C$22),MAX(U$1:U248)+1,"")</f>
        <v/>
      </c>
    </row>
    <row r="250" spans="1:21" x14ac:dyDescent="0.35">
      <c r="A250" s="3" t="s">
        <v>404</v>
      </c>
      <c r="B250" s="4">
        <v>45758</v>
      </c>
      <c r="C250" s="3" t="s">
        <v>233</v>
      </c>
      <c r="D250" s="3" t="s">
        <v>234</v>
      </c>
      <c r="E250" s="3" t="s">
        <v>118</v>
      </c>
      <c r="F250" s="3" t="s">
        <v>119</v>
      </c>
      <c r="G250" s="3" t="s">
        <v>26</v>
      </c>
      <c r="H250" s="3">
        <v>2</v>
      </c>
      <c r="I250" s="5">
        <v>89.99</v>
      </c>
      <c r="J250" s="3" t="s">
        <v>64</v>
      </c>
      <c r="K250" s="3" t="s">
        <v>70</v>
      </c>
      <c r="L250" s="3" t="s">
        <v>29</v>
      </c>
      <c r="M250" s="4">
        <v>45088</v>
      </c>
      <c r="N250" s="5">
        <v>179.98</v>
      </c>
      <c r="O250" s="6">
        <f t="shared" si="15"/>
        <v>45748</v>
      </c>
      <c r="P250" s="4">
        <f t="shared" si="16"/>
        <v>45777</v>
      </c>
      <c r="Q250" s="3">
        <f t="shared" si="17"/>
        <v>1</v>
      </c>
      <c r="R250" s="7">
        <f t="shared" ca="1" si="18"/>
        <v>566</v>
      </c>
      <c r="S250" s="3">
        <f t="shared" si="19"/>
        <v>8</v>
      </c>
      <c r="T250" s="3" t="str">
        <f>IF(COUNTIF($D$2:D250,D250)=1,"First","Repeat")</f>
        <v>Repeat</v>
      </c>
      <c r="U250" s="3" t="str">
        <f>IF(AND($K250=DateTime_Filter!$C$21,$N250&gt;=DateTime_Filter!$C$22),MAX(U$1:U249)+1,"")</f>
        <v/>
      </c>
    </row>
    <row r="251" spans="1:21" x14ac:dyDescent="0.35">
      <c r="A251" s="3" t="s">
        <v>405</v>
      </c>
      <c r="B251" s="4">
        <v>45758</v>
      </c>
      <c r="C251" s="3" t="s">
        <v>300</v>
      </c>
      <c r="D251" s="3" t="s">
        <v>301</v>
      </c>
      <c r="E251" s="3" t="s">
        <v>87</v>
      </c>
      <c r="F251" s="3" t="s">
        <v>88</v>
      </c>
      <c r="G251" s="3" t="s">
        <v>26</v>
      </c>
      <c r="H251" s="3">
        <v>3</v>
      </c>
      <c r="I251" s="5">
        <v>699.99</v>
      </c>
      <c r="J251" s="3" t="s">
        <v>41</v>
      </c>
      <c r="K251" s="3" t="s">
        <v>47</v>
      </c>
      <c r="L251" s="3" t="s">
        <v>29</v>
      </c>
      <c r="M251" s="4">
        <v>44909</v>
      </c>
      <c r="N251" s="5">
        <v>2099.9699999999998</v>
      </c>
      <c r="O251" s="6">
        <f t="shared" si="15"/>
        <v>45748</v>
      </c>
      <c r="P251" s="4">
        <f t="shared" si="16"/>
        <v>45777</v>
      </c>
      <c r="Q251" s="3">
        <f t="shared" si="17"/>
        <v>2</v>
      </c>
      <c r="R251" s="7">
        <f t="shared" ca="1" si="18"/>
        <v>566</v>
      </c>
      <c r="S251" s="3">
        <f t="shared" si="19"/>
        <v>4</v>
      </c>
      <c r="T251" s="3" t="str">
        <f>IF(COUNTIF($D$2:D251,D251)=1,"First","Repeat")</f>
        <v>Repeat</v>
      </c>
      <c r="U251" s="3">
        <f>IF(AND($K251=DateTime_Filter!$C$21,$N251&gt;=DateTime_Filter!$C$22),MAX(U$1:U250)+1,"")</f>
        <v>14</v>
      </c>
    </row>
  </sheetData>
  <autoFilter ref="A1:U251" xr:uid="{00000000-0009-0000-0000-000001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8"/>
  <sheetViews>
    <sheetView showGridLines="0" workbookViewId="0">
      <pane ySplit="2" topLeftCell="A75" activePane="bottomLeft" state="frozen"/>
      <selection pane="bottomLeft" activeCell="A88" sqref="A88"/>
    </sheetView>
  </sheetViews>
  <sheetFormatPr defaultRowHeight="14.5" x14ac:dyDescent="0.35"/>
  <cols>
    <col min="1" max="1" width="46" customWidth="1"/>
    <col min="2" max="2" width="20" customWidth="1"/>
    <col min="3" max="3" width="16" customWidth="1"/>
    <col min="4" max="4" width="14" customWidth="1"/>
    <col min="5" max="6" width="16" customWidth="1"/>
    <col min="7" max="7" width="18" customWidth="1"/>
    <col min="8" max="8" width="14" customWidth="1"/>
    <col min="9" max="9" width="16" customWidth="1"/>
  </cols>
  <sheetData>
    <row r="1" spans="1:9" ht="28" customHeight="1" x14ac:dyDescent="0.35">
      <c r="A1" s="43" t="s">
        <v>406</v>
      </c>
      <c r="B1" s="44"/>
      <c r="C1" s="44"/>
      <c r="D1" s="44"/>
      <c r="E1" s="44"/>
      <c r="F1" s="44"/>
      <c r="G1" s="44"/>
      <c r="H1" s="44"/>
      <c r="I1" s="44"/>
    </row>
    <row r="2" spans="1:9" x14ac:dyDescent="0.35">
      <c r="A2" s="39"/>
      <c r="B2" s="36"/>
      <c r="C2" s="36"/>
      <c r="D2" s="36"/>
      <c r="E2" s="36"/>
      <c r="F2" s="36"/>
      <c r="G2" s="36"/>
      <c r="H2" s="36"/>
      <c r="I2" s="36"/>
    </row>
    <row r="3" spans="1:9" ht="15.5" x14ac:dyDescent="0.35">
      <c r="A3" s="45" t="s">
        <v>407</v>
      </c>
      <c r="B3" s="46"/>
      <c r="C3" s="46"/>
      <c r="D3" s="46"/>
      <c r="E3" s="46"/>
      <c r="F3" s="46"/>
      <c r="G3" s="46"/>
      <c r="H3" s="46"/>
      <c r="I3" s="46"/>
    </row>
    <row r="4" spans="1:9" x14ac:dyDescent="0.35">
      <c r="A4" s="8" t="s">
        <v>408</v>
      </c>
      <c r="B4" s="9">
        <f>SUM('Raw Data'!$N$2:$N$251)</f>
        <v>229192.47000000032</v>
      </c>
    </row>
    <row r="5" spans="1:9" x14ac:dyDescent="0.35">
      <c r="A5" s="8" t="s">
        <v>409</v>
      </c>
      <c r="B5" s="10">
        <f>COUNTA('Raw Data'!$A$2:$A$251)</f>
        <v>250</v>
      </c>
    </row>
    <row r="6" spans="1:9" x14ac:dyDescent="0.35">
      <c r="A6" s="8" t="s">
        <v>410</v>
      </c>
      <c r="B6" s="10">
        <f>SUM('Raw Data'!$H$2:$H$251)</f>
        <v>753</v>
      </c>
    </row>
    <row r="7" spans="1:9" x14ac:dyDescent="0.35">
      <c r="A7" s="8" t="s">
        <v>411</v>
      </c>
      <c r="B7" s="9">
        <f>B4/B5</f>
        <v>916.76988000000131</v>
      </c>
    </row>
    <row r="8" spans="1:9" x14ac:dyDescent="0.35">
      <c r="A8" s="8" t="s">
        <v>412</v>
      </c>
      <c r="B8" s="10">
        <f>SUMPRODUCT(1/COUNTIF('Raw Data'!$C$2:$C$251,'Raw Data'!$C$2:$C$251))</f>
        <v>50.000000000000021</v>
      </c>
    </row>
    <row r="9" spans="1:9" x14ac:dyDescent="0.35">
      <c r="A9" s="8" t="s">
        <v>413</v>
      </c>
      <c r="B9" s="9">
        <f>B4/B8</f>
        <v>4583.8494000000046</v>
      </c>
    </row>
    <row r="11" spans="1:9" ht="15.5" x14ac:dyDescent="0.35">
      <c r="A11" s="45" t="s">
        <v>414</v>
      </c>
      <c r="B11" s="46"/>
      <c r="C11" s="46"/>
      <c r="D11" s="46"/>
      <c r="E11" s="46"/>
      <c r="F11" s="46"/>
      <c r="G11" s="46"/>
      <c r="H11" s="46"/>
      <c r="I11" s="46"/>
    </row>
    <row r="12" spans="1:9" ht="26" x14ac:dyDescent="0.35">
      <c r="A12" s="49" t="s">
        <v>10</v>
      </c>
      <c r="B12" s="49" t="s">
        <v>415</v>
      </c>
      <c r="C12" s="49" t="s">
        <v>416</v>
      </c>
      <c r="D12" s="49" t="s">
        <v>417</v>
      </c>
      <c r="E12" s="49" t="s">
        <v>418</v>
      </c>
      <c r="F12" s="49" t="s">
        <v>419</v>
      </c>
      <c r="G12" s="49" t="s">
        <v>420</v>
      </c>
    </row>
    <row r="13" spans="1:9" x14ac:dyDescent="0.35">
      <c r="A13" s="11" t="s">
        <v>28</v>
      </c>
      <c r="B13" s="9">
        <f>SUMIFS('Raw Data'!$N$2:$N$251,'Raw Data'!$K$2:$K$251,$A13)</f>
        <v>41288.340000000018</v>
      </c>
      <c r="C13" s="10">
        <f>COUNTIFS('Raw Data'!$K$2:$K$251,$A13)</f>
        <v>54</v>
      </c>
      <c r="D13" s="10">
        <f>SUMIFS('Raw Data'!$H$2:$H$251,'Raw Data'!$K$2:$K$251,$A13)</f>
        <v>166</v>
      </c>
      <c r="E13" s="12">
        <f>B13/$B$18</f>
        <v>0.18014701791904422</v>
      </c>
      <c r="F13" s="9">
        <f>IFERROR(B13/C13,0)</f>
        <v>764.59888888888918</v>
      </c>
      <c r="G13" s="13">
        <f>B13/AVERAGE($B$13:$B$17)</f>
        <v>0.90073508959522108</v>
      </c>
    </row>
    <row r="14" spans="1:9" x14ac:dyDescent="0.35">
      <c r="A14" s="11" t="s">
        <v>70</v>
      </c>
      <c r="B14" s="9">
        <f>SUMIFS('Raw Data'!$N$2:$N$251,'Raw Data'!$K$2:$K$251,$A14)</f>
        <v>59288.389999999992</v>
      </c>
      <c r="C14" s="10">
        <f>COUNTIFS('Raw Data'!$K$2:$K$251,$A14)</f>
        <v>48</v>
      </c>
      <c r="D14" s="10">
        <f>SUMIFS('Raw Data'!$H$2:$H$251,'Raw Data'!$K$2:$K$251,$A14)</f>
        <v>161</v>
      </c>
      <c r="E14" s="12">
        <f>B14/$B$18</f>
        <v>0.25868384768487368</v>
      </c>
      <c r="F14" s="9">
        <f>IFERROR(B14/C14,0)</f>
        <v>1235.1747916666666</v>
      </c>
      <c r="G14" s="13">
        <f>B14/AVERAGE($B$13:$B$17)</f>
        <v>1.2934192384243683</v>
      </c>
    </row>
    <row r="15" spans="1:9" x14ac:dyDescent="0.35">
      <c r="A15" s="11" t="s">
        <v>47</v>
      </c>
      <c r="B15" s="9">
        <f>SUMIFS('Raw Data'!$N$2:$N$251,'Raw Data'!$K$2:$K$251,$A15)</f>
        <v>50808.310000000012</v>
      </c>
      <c r="C15" s="10">
        <f>COUNTIFS('Raw Data'!$K$2:$K$251,$A15)</f>
        <v>59</v>
      </c>
      <c r="D15" s="10">
        <f>SUMIFS('Raw Data'!$H$2:$H$251,'Raw Data'!$K$2:$K$251,$A15)</f>
        <v>169</v>
      </c>
      <c r="E15" s="12">
        <f>B15/$B$18</f>
        <v>0.221684028275449</v>
      </c>
      <c r="F15" s="9">
        <f>IFERROR(B15/C15,0)</f>
        <v>861.15779661016973</v>
      </c>
      <c r="G15" s="13">
        <f>B15/AVERAGE($B$13:$B$17)</f>
        <v>1.108420141377245</v>
      </c>
    </row>
    <row r="16" spans="1:9" x14ac:dyDescent="0.35">
      <c r="A16" s="11" t="s">
        <v>42</v>
      </c>
      <c r="B16" s="9">
        <f>SUMIFS('Raw Data'!$N$2:$N$251,'Raw Data'!$K$2:$K$251,$A16)</f>
        <v>36398.750000000007</v>
      </c>
      <c r="C16" s="10">
        <f>COUNTIFS('Raw Data'!$K$2:$K$251,$A16)</f>
        <v>42</v>
      </c>
      <c r="D16" s="10">
        <f>SUMIFS('Raw Data'!$H$2:$H$251,'Raw Data'!$K$2:$K$251,$A16)</f>
        <v>125</v>
      </c>
      <c r="E16" s="12">
        <f>B16/$B$18</f>
        <v>0.1588130273215346</v>
      </c>
      <c r="F16" s="9">
        <f>IFERROR(B16/C16,0)</f>
        <v>866.63690476190493</v>
      </c>
      <c r="G16" s="13">
        <f>B16/AVERAGE($B$13:$B$17)</f>
        <v>0.79406513660767297</v>
      </c>
    </row>
    <row r="17" spans="1:9" x14ac:dyDescent="0.35">
      <c r="A17" s="11" t="s">
        <v>57</v>
      </c>
      <c r="B17" s="9">
        <f>SUMIFS('Raw Data'!$N$2:$N$251,'Raw Data'!$K$2:$K$251,$A17)</f>
        <v>41408.680000000015</v>
      </c>
      <c r="C17" s="10">
        <f>COUNTIFS('Raw Data'!$K$2:$K$251,$A17)</f>
        <v>47</v>
      </c>
      <c r="D17" s="10">
        <f>SUMIFS('Raw Data'!$H$2:$H$251,'Raw Data'!$K$2:$K$251,$A17)</f>
        <v>132</v>
      </c>
      <c r="E17" s="12">
        <f>B17/$B$18</f>
        <v>0.18067207879909844</v>
      </c>
      <c r="F17" s="9">
        <f>IFERROR(B17/C17,0)</f>
        <v>881.03574468085139</v>
      </c>
      <c r="G17" s="13">
        <f>B17/AVERAGE($B$13:$B$17)</f>
        <v>0.90336039399549217</v>
      </c>
    </row>
    <row r="18" spans="1:9" x14ac:dyDescent="0.35">
      <c r="A18" s="8" t="s">
        <v>421</v>
      </c>
      <c r="B18" s="14">
        <f>SUM(B13:B17)</f>
        <v>229192.47000000006</v>
      </c>
      <c r="C18" s="15">
        <f>SUM(C13:C17)</f>
        <v>250</v>
      </c>
      <c r="D18" s="15">
        <f>SUM(D13:D17)</f>
        <v>753</v>
      </c>
      <c r="E18" s="16">
        <f>SUM(E13:E17)</f>
        <v>0.99999999999999989</v>
      </c>
      <c r="F18" s="14">
        <f>B18/C18</f>
        <v>916.76988000000028</v>
      </c>
    </row>
    <row r="20" spans="1:9" ht="15.5" x14ac:dyDescent="0.35">
      <c r="A20" s="45" t="s">
        <v>422</v>
      </c>
      <c r="B20" s="46"/>
      <c r="C20" s="46"/>
      <c r="D20" s="46"/>
      <c r="E20" s="46"/>
      <c r="F20" s="46"/>
      <c r="G20" s="46"/>
      <c r="H20" s="46"/>
      <c r="I20" s="46"/>
    </row>
    <row r="21" spans="1:9" x14ac:dyDescent="0.35">
      <c r="A21" s="49" t="s">
        <v>6</v>
      </c>
      <c r="B21" s="49" t="s">
        <v>415</v>
      </c>
      <c r="C21" s="49" t="s">
        <v>416</v>
      </c>
      <c r="D21" s="49" t="s">
        <v>417</v>
      </c>
      <c r="E21" s="49" t="s">
        <v>418</v>
      </c>
      <c r="F21" s="49" t="s">
        <v>419</v>
      </c>
    </row>
    <row r="22" spans="1:9" x14ac:dyDescent="0.35">
      <c r="A22" s="11" t="s">
        <v>40</v>
      </c>
      <c r="B22" s="9">
        <f>SUMIFS('Raw Data'!$N$2:$N$251,'Raw Data'!$G$2:$G$251,$A22)</f>
        <v>8338.7399999999961</v>
      </c>
      <c r="C22" s="10">
        <f>COUNTIFS('Raw Data'!$G$2:$G$251,$A22)</f>
        <v>43</v>
      </c>
      <c r="D22" s="10">
        <f>SUMIFS('Raw Data'!$H$2:$H$251,'Raw Data'!$G$2:$G$251,$A22)</f>
        <v>126</v>
      </c>
      <c r="E22" s="12">
        <f>B22/$B$25</f>
        <v>3.6383132482493821E-2</v>
      </c>
      <c r="F22" s="9">
        <f>IFERROR(B22/C22,0)</f>
        <v>193.92418604651155</v>
      </c>
    </row>
    <row r="23" spans="1:9" x14ac:dyDescent="0.35">
      <c r="A23" s="11" t="s">
        <v>26</v>
      </c>
      <c r="B23" s="9">
        <f>SUMIFS('Raw Data'!$N$2:$N$251,'Raw Data'!$G$2:$G$251,$A23)</f>
        <v>171756.05000000013</v>
      </c>
      <c r="C23" s="10">
        <f>COUNTIFS('Raw Data'!$G$2:$G$251,$A23)</f>
        <v>131</v>
      </c>
      <c r="D23" s="10">
        <f>SUMIFS('Raw Data'!$H$2:$H$251,'Raw Data'!$G$2:$G$251,$A23)</f>
        <v>395</v>
      </c>
      <c r="E23" s="12">
        <f>B23/$B$25</f>
        <v>0.74939656612627814</v>
      </c>
      <c r="F23" s="9">
        <f>IFERROR(B23/C23,0)</f>
        <v>1311.1148854961841</v>
      </c>
    </row>
    <row r="24" spans="1:9" x14ac:dyDescent="0.35">
      <c r="A24" s="11" t="s">
        <v>53</v>
      </c>
      <c r="B24" s="9">
        <f>SUMIFS('Raw Data'!$N$2:$N$251,'Raw Data'!$G$2:$G$251,$A24)</f>
        <v>49097.680000000015</v>
      </c>
      <c r="C24" s="10">
        <f>COUNTIFS('Raw Data'!$G$2:$G$251,$A24)</f>
        <v>76</v>
      </c>
      <c r="D24" s="10">
        <f>SUMIFS('Raw Data'!$H$2:$H$251,'Raw Data'!$G$2:$G$251,$A24)</f>
        <v>232</v>
      </c>
      <c r="E24" s="12">
        <f>B24/$B$25</f>
        <v>0.214220301391228</v>
      </c>
      <c r="F24" s="9">
        <f>IFERROR(B24/C24,0)</f>
        <v>646.0221052631581</v>
      </c>
    </row>
    <row r="25" spans="1:9" x14ac:dyDescent="0.35">
      <c r="A25" s="8" t="s">
        <v>421</v>
      </c>
      <c r="B25" s="14">
        <f>SUM(B22:B24)</f>
        <v>229192.47000000015</v>
      </c>
      <c r="C25" s="15">
        <f>SUM(C22:C24)</f>
        <v>250</v>
      </c>
      <c r="D25" s="15">
        <f>SUM(D22:D24)</f>
        <v>753</v>
      </c>
      <c r="E25" s="16">
        <f>SUM(E22:E24)</f>
        <v>1</v>
      </c>
      <c r="F25" s="14">
        <f>B25/C25</f>
        <v>916.76988000000063</v>
      </c>
    </row>
    <row r="27" spans="1:9" ht="15.5" x14ac:dyDescent="0.35">
      <c r="A27" s="45" t="s">
        <v>423</v>
      </c>
      <c r="B27" s="46"/>
      <c r="C27" s="46"/>
      <c r="D27" s="46"/>
      <c r="E27" s="46"/>
      <c r="F27" s="46"/>
      <c r="G27" s="46"/>
      <c r="H27" s="46"/>
      <c r="I27" s="46"/>
    </row>
    <row r="28" spans="1:9" x14ac:dyDescent="0.35">
      <c r="A28" s="49" t="s">
        <v>4</v>
      </c>
      <c r="B28" s="49" t="s">
        <v>5</v>
      </c>
      <c r="C28" s="49" t="s">
        <v>6</v>
      </c>
      <c r="D28" s="49" t="s">
        <v>8</v>
      </c>
      <c r="E28" s="49" t="s">
        <v>416</v>
      </c>
      <c r="F28" s="49" t="s">
        <v>417</v>
      </c>
      <c r="G28" s="49" t="s">
        <v>415</v>
      </c>
      <c r="H28" s="49" t="s">
        <v>424</v>
      </c>
      <c r="I28" s="49" t="s">
        <v>425</v>
      </c>
    </row>
    <row r="29" spans="1:9" x14ac:dyDescent="0.35">
      <c r="A29" s="11" t="s">
        <v>68</v>
      </c>
      <c r="B29" s="11" t="str">
        <f>INDEX('Raw Data'!$F$2:$F$251,MATCH(A29,'Raw Data'!$E$2:$E$251,0))</f>
        <v>Laptop</v>
      </c>
      <c r="C29" s="11" t="str">
        <f>INDEX('Raw Data'!$G$2:$G$251,MATCH(A29,'Raw Data'!$E$2:$E$251,0))</f>
        <v>Electronics</v>
      </c>
      <c r="D29" s="9">
        <f>INDEX('Raw Data'!$I$2:$I$251,MATCH(A29,'Raw Data'!$E$2:$E$251,0))</f>
        <v>899.99</v>
      </c>
      <c r="E29" s="10">
        <f>COUNTIFS('Raw Data'!$E$2:$E$251,A29)</f>
        <v>24</v>
      </c>
      <c r="F29" s="10">
        <f>SUMIFS('Raw Data'!$H$2:$H$251,'Raw Data'!$E$2:$E$251,A29)</f>
        <v>75</v>
      </c>
      <c r="G29" s="9">
        <f>SUMIFS('Raw Data'!$N$2:$N$251,'Raw Data'!$E$2:$E$251,A29)</f>
        <v>67499.25</v>
      </c>
      <c r="H29" s="17">
        <f>RANK(F29,$F$29:$F$38)+COUNTIF($F$29:F29,F29)-1</f>
        <v>7</v>
      </c>
      <c r="I29" s="11" t="str">
        <f t="shared" ref="I29:I38" si="0">UPPER(LEFT(C29,3))&amp;"-"&amp;UPPER(LEFT(B29,3))&amp;"-"&amp;RIGHT(A29,2)</f>
        <v>ELE-LAP-01</v>
      </c>
    </row>
    <row r="30" spans="1:9" x14ac:dyDescent="0.35">
      <c r="A30" s="11" t="s">
        <v>87</v>
      </c>
      <c r="B30" s="11" t="str">
        <f>INDEX('Raw Data'!$F$2:$F$251,MATCH(A30,'Raw Data'!$E$2:$E$251,0))</f>
        <v>Smartphone</v>
      </c>
      <c r="C30" s="11" t="str">
        <f>INDEX('Raw Data'!$G$2:$G$251,MATCH(A30,'Raw Data'!$E$2:$E$251,0))</f>
        <v>Electronics</v>
      </c>
      <c r="D30" s="9">
        <f>INDEX('Raw Data'!$I$2:$I$251,MATCH(A30,'Raw Data'!$E$2:$E$251,0))</f>
        <v>699.99</v>
      </c>
      <c r="E30" s="10">
        <f>COUNTIFS('Raw Data'!$E$2:$E$251,A30)</f>
        <v>31</v>
      </c>
      <c r="F30" s="10">
        <f>SUMIFS('Raw Data'!$H$2:$H$251,'Raw Data'!$E$2:$E$251,A30)</f>
        <v>96</v>
      </c>
      <c r="G30" s="9">
        <f>SUMIFS('Raw Data'!$N$2:$N$251,'Raw Data'!$E$2:$E$251,A30)</f>
        <v>67199.039999999994</v>
      </c>
      <c r="H30" s="17">
        <f>RANK(F30,$F$29:$F$38)+COUNTIF($F$29:F30,F30)-1</f>
        <v>2</v>
      </c>
      <c r="I30" s="11" t="str">
        <f t="shared" si="0"/>
        <v>ELE-SMA-02</v>
      </c>
    </row>
    <row r="31" spans="1:9" x14ac:dyDescent="0.35">
      <c r="A31" s="11" t="s">
        <v>59</v>
      </c>
      <c r="B31" s="11" t="str">
        <f>INDEX('Raw Data'!$F$2:$F$251,MATCH(A31,'Raw Data'!$E$2:$E$251,0))</f>
        <v>Headphones</v>
      </c>
      <c r="C31" s="11" t="str">
        <f>INDEX('Raw Data'!$G$2:$G$251,MATCH(A31,'Raw Data'!$E$2:$E$251,0))</f>
        <v>Electronics</v>
      </c>
      <c r="D31" s="9">
        <f>INDEX('Raw Data'!$I$2:$I$251,MATCH(A31,'Raw Data'!$E$2:$E$251,0))</f>
        <v>149.99</v>
      </c>
      <c r="E31" s="10">
        <f>COUNTIFS('Raw Data'!$E$2:$E$251,A31)</f>
        <v>16</v>
      </c>
      <c r="F31" s="10">
        <f>SUMIFS('Raw Data'!$H$2:$H$251,'Raw Data'!$E$2:$E$251,A31)</f>
        <v>47</v>
      </c>
      <c r="G31" s="9">
        <f>SUMIFS('Raw Data'!$N$2:$N$251,'Raw Data'!$E$2:$E$251,A31)</f>
        <v>7049.5299999999988</v>
      </c>
      <c r="H31" s="17">
        <f>RANK(F31,$F$29:$F$38)+COUNTIF($F$29:F31,F31)-1</f>
        <v>9</v>
      </c>
      <c r="I31" s="11" t="str">
        <f t="shared" si="0"/>
        <v>ELE-HEA-03</v>
      </c>
    </row>
    <row r="32" spans="1:9" x14ac:dyDescent="0.35">
      <c r="A32" s="11" t="s">
        <v>124</v>
      </c>
      <c r="B32" s="11" t="str">
        <f>INDEX('Raw Data'!$F$2:$F$251,MATCH(A32,'Raw Data'!$E$2:$E$251,0))</f>
        <v>Coffee Maker</v>
      </c>
      <c r="C32" s="11" t="str">
        <f>INDEX('Raw Data'!$G$2:$G$251,MATCH(A32,'Raw Data'!$E$2:$E$251,0))</f>
        <v>Appliances</v>
      </c>
      <c r="D32" s="9">
        <f>INDEX('Raw Data'!$I$2:$I$251,MATCH(A32,'Raw Data'!$E$2:$E$251,0))</f>
        <v>79.989999999999995</v>
      </c>
      <c r="E32" s="10">
        <f>COUNTIFS('Raw Data'!$E$2:$E$251,A32)</f>
        <v>14</v>
      </c>
      <c r="F32" s="10">
        <f>SUMIFS('Raw Data'!$H$2:$H$251,'Raw Data'!$E$2:$E$251,A32)</f>
        <v>39</v>
      </c>
      <c r="G32" s="9">
        <f>SUMIFS('Raw Data'!$N$2:$N$251,'Raw Data'!$E$2:$E$251,A32)</f>
        <v>3119.6099999999992</v>
      </c>
      <c r="H32" s="17">
        <f>RANK(F32,$F$29:$F$38)+COUNTIF($F$29:F32,F32)-1</f>
        <v>10</v>
      </c>
      <c r="I32" s="11" t="str">
        <f t="shared" si="0"/>
        <v>APP-COF-04</v>
      </c>
    </row>
    <row r="33" spans="1:9" x14ac:dyDescent="0.35">
      <c r="A33" s="11" t="s">
        <v>38</v>
      </c>
      <c r="B33" s="11" t="str">
        <f>INDEX('Raw Data'!$F$2:$F$251,MATCH(A33,'Raw Data'!$E$2:$E$251,0))</f>
        <v>Blender</v>
      </c>
      <c r="C33" s="11" t="str">
        <f>INDEX('Raw Data'!$G$2:$G$251,MATCH(A33,'Raw Data'!$E$2:$E$251,0))</f>
        <v>Appliances</v>
      </c>
      <c r="D33" s="9">
        <f>INDEX('Raw Data'!$I$2:$I$251,MATCH(A33,'Raw Data'!$E$2:$E$251,0))</f>
        <v>59.99</v>
      </c>
      <c r="E33" s="10">
        <f>COUNTIFS('Raw Data'!$E$2:$E$251,A33)</f>
        <v>29</v>
      </c>
      <c r="F33" s="10">
        <f>SUMIFS('Raw Data'!$H$2:$H$251,'Raw Data'!$E$2:$E$251,A33)</f>
        <v>87</v>
      </c>
      <c r="G33" s="9">
        <f>SUMIFS('Raw Data'!$N$2:$N$251,'Raw Data'!$E$2:$E$251,A33)</f>
        <v>5219.1299999999974</v>
      </c>
      <c r="H33" s="17">
        <f>RANK(F33,$F$29:$F$38)+COUNTIF($F$29:F33,F33)-1</f>
        <v>5</v>
      </c>
      <c r="I33" s="11" t="str">
        <f t="shared" si="0"/>
        <v>APP-BLE-05</v>
      </c>
    </row>
    <row r="34" spans="1:9" x14ac:dyDescent="0.35">
      <c r="A34" s="11" t="s">
        <v>130</v>
      </c>
      <c r="B34" s="11" t="str">
        <f>INDEX('Raw Data'!$F$2:$F$251,MATCH(A34,'Raw Data'!$E$2:$E$251,0))</f>
        <v>Office Chair</v>
      </c>
      <c r="C34" s="11" t="str">
        <f>INDEX('Raw Data'!$G$2:$G$251,MATCH(A34,'Raw Data'!$E$2:$E$251,0))</f>
        <v>Furniture</v>
      </c>
      <c r="D34" s="9">
        <f>INDEX('Raw Data'!$I$2:$I$251,MATCH(A34,'Raw Data'!$E$2:$E$251,0))</f>
        <v>199.99</v>
      </c>
      <c r="E34" s="10">
        <f>COUNTIFS('Raw Data'!$E$2:$E$251,A34)</f>
        <v>15</v>
      </c>
      <c r="F34" s="10">
        <f>SUMIFS('Raw Data'!$H$2:$H$251,'Raw Data'!$E$2:$E$251,A34)</f>
        <v>52</v>
      </c>
      <c r="G34" s="9">
        <f>SUMIFS('Raw Data'!$N$2:$N$251,'Raw Data'!$E$2:$E$251,A34)</f>
        <v>10399.479999999998</v>
      </c>
      <c r="H34" s="17">
        <f>RANK(F34,$F$29:$F$38)+COUNTIF($F$29:F34,F34)-1</f>
        <v>8</v>
      </c>
      <c r="I34" s="11" t="str">
        <f t="shared" si="0"/>
        <v>FUR-OFF-06</v>
      </c>
    </row>
    <row r="35" spans="1:9" x14ac:dyDescent="0.35">
      <c r="A35" s="11" t="s">
        <v>112</v>
      </c>
      <c r="B35" s="11" t="str">
        <f>INDEX('Raw Data'!$F$2:$F$251,MATCH(A35,'Raw Data'!$E$2:$E$251,0))</f>
        <v>Desk</v>
      </c>
      <c r="C35" s="11" t="str">
        <f>INDEX('Raw Data'!$G$2:$G$251,MATCH(A35,'Raw Data'!$E$2:$E$251,0))</f>
        <v>Furniture</v>
      </c>
      <c r="D35" s="9">
        <f>INDEX('Raw Data'!$I$2:$I$251,MATCH(A35,'Raw Data'!$E$2:$E$251,0))</f>
        <v>299.99</v>
      </c>
      <c r="E35" s="10">
        <f>COUNTIFS('Raw Data'!$E$2:$E$251,A35)</f>
        <v>26</v>
      </c>
      <c r="F35" s="10">
        <f>SUMIFS('Raw Data'!$H$2:$H$251,'Raw Data'!$E$2:$E$251,A35)</f>
        <v>78</v>
      </c>
      <c r="G35" s="9">
        <f>SUMIFS('Raw Data'!$N$2:$N$251,'Raw Data'!$E$2:$E$251,A35)</f>
        <v>23399.22</v>
      </c>
      <c r="H35" s="17">
        <f>RANK(F35,$F$29:$F$38)+COUNTIF($F$29:F35,F35)-1</f>
        <v>6</v>
      </c>
      <c r="I35" s="11" t="str">
        <f t="shared" si="0"/>
        <v>FUR-DES-07</v>
      </c>
    </row>
    <row r="36" spans="1:9" x14ac:dyDescent="0.35">
      <c r="A36" s="11" t="s">
        <v>51</v>
      </c>
      <c r="B36" s="11" t="str">
        <f>INDEX('Raw Data'!$F$2:$F$251,MATCH(A36,'Raw Data'!$E$2:$E$251,0))</f>
        <v>Bookshelf</v>
      </c>
      <c r="C36" s="11" t="str">
        <f>INDEX('Raw Data'!$G$2:$G$251,MATCH(A36,'Raw Data'!$E$2:$E$251,0))</f>
        <v>Furniture</v>
      </c>
      <c r="D36" s="9">
        <f>INDEX('Raw Data'!$I$2:$I$251,MATCH(A36,'Raw Data'!$E$2:$E$251,0))</f>
        <v>149.99</v>
      </c>
      <c r="E36" s="10">
        <f>COUNTIFS('Raw Data'!$E$2:$E$251,A36)</f>
        <v>35</v>
      </c>
      <c r="F36" s="10">
        <f>SUMIFS('Raw Data'!$H$2:$H$251,'Raw Data'!$E$2:$E$251,A36)</f>
        <v>102</v>
      </c>
      <c r="G36" s="9">
        <f>SUMIFS('Raw Data'!$N$2:$N$251,'Raw Data'!$E$2:$E$251,A36)</f>
        <v>15298.979999999994</v>
      </c>
      <c r="H36" s="17">
        <f>RANK(F36,$F$29:$F$38)+COUNTIF($F$29:F36,F36)-1</f>
        <v>1</v>
      </c>
      <c r="I36" s="11" t="str">
        <f t="shared" si="0"/>
        <v>FUR-BOO-08</v>
      </c>
    </row>
    <row r="37" spans="1:9" x14ac:dyDescent="0.35">
      <c r="A37" s="11" t="s">
        <v>24</v>
      </c>
      <c r="B37" s="11" t="str">
        <f>INDEX('Raw Data'!$F$2:$F$251,MATCH(A37,'Raw Data'!$E$2:$E$251,0))</f>
        <v>Monitor</v>
      </c>
      <c r="C37" s="11" t="str">
        <f>INDEX('Raw Data'!$G$2:$G$251,MATCH(A37,'Raw Data'!$E$2:$E$251,0))</f>
        <v>Electronics</v>
      </c>
      <c r="D37" s="9">
        <f>INDEX('Raw Data'!$I$2:$I$251,MATCH(A37,'Raw Data'!$E$2:$E$251,0))</f>
        <v>249.99</v>
      </c>
      <c r="E37" s="10">
        <f>COUNTIFS('Raw Data'!$E$2:$E$251,A37)</f>
        <v>26</v>
      </c>
      <c r="F37" s="10">
        <f>SUMIFS('Raw Data'!$H$2:$H$251,'Raw Data'!$E$2:$E$251,A37)</f>
        <v>88</v>
      </c>
      <c r="G37" s="9">
        <f>SUMIFS('Raw Data'!$N$2:$N$251,'Raw Data'!$E$2:$E$251,A37)</f>
        <v>21999.119999999999</v>
      </c>
      <c r="H37" s="17">
        <f>RANK(F37,$F$29:$F$38)+COUNTIF($F$29:F37,F37)-1</f>
        <v>4</v>
      </c>
      <c r="I37" s="11" t="str">
        <f t="shared" si="0"/>
        <v>ELE-MON-09</v>
      </c>
    </row>
    <row r="38" spans="1:9" x14ac:dyDescent="0.35">
      <c r="A38" s="11" t="s">
        <v>118</v>
      </c>
      <c r="B38" s="11" t="str">
        <f>INDEX('Raw Data'!$F$2:$F$251,MATCH(A38,'Raw Data'!$E$2:$E$251,0))</f>
        <v>Keyboard</v>
      </c>
      <c r="C38" s="11" t="str">
        <f>INDEX('Raw Data'!$G$2:$G$251,MATCH(A38,'Raw Data'!$E$2:$E$251,0))</f>
        <v>Electronics</v>
      </c>
      <c r="D38" s="9">
        <f>INDEX('Raw Data'!$I$2:$I$251,MATCH(A38,'Raw Data'!$E$2:$E$251,0))</f>
        <v>89.99</v>
      </c>
      <c r="E38" s="10">
        <f>COUNTIFS('Raw Data'!$E$2:$E$251,A38)</f>
        <v>34</v>
      </c>
      <c r="F38" s="10">
        <f>SUMIFS('Raw Data'!$H$2:$H$251,'Raw Data'!$E$2:$E$251,A38)</f>
        <v>89</v>
      </c>
      <c r="G38" s="9">
        <f>SUMIFS('Raw Data'!$N$2:$N$251,'Raw Data'!$E$2:$E$251,A38)</f>
        <v>8009.1099999999969</v>
      </c>
      <c r="H38" s="17">
        <f>RANK(F38,$F$29:$F$38)+COUNTIF($F$29:F38,F38)-1</f>
        <v>3</v>
      </c>
      <c r="I38" s="11" t="str">
        <f t="shared" si="0"/>
        <v>ELE-KEY-10</v>
      </c>
    </row>
    <row r="39" spans="1:9" x14ac:dyDescent="0.35">
      <c r="A39" s="8" t="s">
        <v>421</v>
      </c>
      <c r="E39" s="15">
        <f>SUM(E29:E38)</f>
        <v>250</v>
      </c>
      <c r="F39" s="15">
        <f>SUM(F29:F38)</f>
        <v>753</v>
      </c>
      <c r="G39" s="14">
        <f>SUM(G29:G38)</f>
        <v>229192.46999999994</v>
      </c>
    </row>
    <row r="41" spans="1:9" ht="15.5" x14ac:dyDescent="0.35">
      <c r="A41" s="45" t="s">
        <v>426</v>
      </c>
      <c r="B41" s="46"/>
      <c r="C41" s="46"/>
      <c r="D41" s="46"/>
      <c r="E41" s="46"/>
      <c r="F41" s="46"/>
      <c r="G41" s="46"/>
      <c r="H41" s="46"/>
      <c r="I41" s="46"/>
    </row>
    <row r="42" spans="1:9" x14ac:dyDescent="0.35">
      <c r="A42" s="49" t="s">
        <v>427</v>
      </c>
      <c r="B42" s="49" t="s">
        <v>415</v>
      </c>
      <c r="C42" s="49" t="s">
        <v>416</v>
      </c>
      <c r="D42" s="49" t="s">
        <v>417</v>
      </c>
      <c r="E42" s="49" t="s">
        <v>428</v>
      </c>
      <c r="F42" s="49" t="s">
        <v>429</v>
      </c>
    </row>
    <row r="43" spans="1:9" x14ac:dyDescent="0.35">
      <c r="A43" s="18">
        <f>EOMONTH(MIN('Raw Data'!$B$2:$B$251),-1)+1</f>
        <v>45383</v>
      </c>
      <c r="B43" s="9">
        <f>SUMIFS('Raw Data'!$N$2:$N$251,'Raw Data'!$B$2:$B$251,"&gt;="&amp;A43,'Raw Data'!$B$2:$B$251,"&lt;="&amp;EOMONTH(A43,0))</f>
        <v>20919.330000000002</v>
      </c>
      <c r="C43" s="10">
        <f>COUNTIFS('Raw Data'!$B$2:$B$251,"&gt;="&amp;A43,'Raw Data'!$B$2:$B$251,"&lt;="&amp;EOMONTH(A43,0))</f>
        <v>21</v>
      </c>
      <c r="D43" s="10">
        <f>SUMIFS('Raw Data'!$H$2:$H$251,'Raw Data'!$B$2:$B$251,"&gt;="&amp;A43,'Raw Data'!$B$2:$B$251,"&lt;="&amp;EOMONTH(A43,0))</f>
        <v>67</v>
      </c>
      <c r="E43" s="12"/>
      <c r="F43" s="11" t="str">
        <f t="shared" ref="F43:F55" si="1">TEXT(A43,"mmm-yy")</f>
        <v>Apr-24</v>
      </c>
    </row>
    <row r="44" spans="1:9" x14ac:dyDescent="0.35">
      <c r="A44" s="18">
        <f t="shared" ref="A44:A55" si="2">EDATE(A43,1)</f>
        <v>45413</v>
      </c>
      <c r="B44" s="9">
        <f>SUMIFS('Raw Data'!$N$2:$N$251,'Raw Data'!$B$2:$B$251,"&gt;="&amp;A44,'Raw Data'!$B$2:$B$251,"&lt;="&amp;EOMONTH(A44,0))</f>
        <v>17039.349999999999</v>
      </c>
      <c r="C44" s="10">
        <f>COUNTIFS('Raw Data'!$B$2:$B$251,"&gt;="&amp;A44,'Raw Data'!$B$2:$B$251,"&lt;="&amp;EOMONTH(A44,0))</f>
        <v>19</v>
      </c>
      <c r="D44" s="10">
        <f>SUMIFS('Raw Data'!$H$2:$H$251,'Raw Data'!$B$2:$B$251,"&gt;="&amp;A44,'Raw Data'!$B$2:$B$251,"&lt;="&amp;EOMONTH(A44,0))</f>
        <v>65</v>
      </c>
      <c r="E44" s="12">
        <f t="shared" ref="E44:E55" si="3">IFERROR(B44/B43-1,0)</f>
        <v>-0.18547343533468819</v>
      </c>
      <c r="F44" s="11" t="str">
        <f t="shared" si="1"/>
        <v>May-24</v>
      </c>
    </row>
    <row r="45" spans="1:9" x14ac:dyDescent="0.35">
      <c r="A45" s="18">
        <f t="shared" si="2"/>
        <v>45444</v>
      </c>
      <c r="B45" s="9">
        <f>SUMIFS('Raw Data'!$N$2:$N$251,'Raw Data'!$B$2:$B$251,"&gt;="&amp;A45,'Raw Data'!$B$2:$B$251,"&lt;="&amp;EOMONTH(A45,0))</f>
        <v>19299.45</v>
      </c>
      <c r="C45" s="10">
        <f>COUNTIFS('Raw Data'!$B$2:$B$251,"&gt;="&amp;A45,'Raw Data'!$B$2:$B$251,"&lt;="&amp;EOMONTH(A45,0))</f>
        <v>19</v>
      </c>
      <c r="D45" s="10">
        <f>SUMIFS('Raw Data'!$H$2:$H$251,'Raw Data'!$B$2:$B$251,"&gt;="&amp;A45,'Raw Data'!$B$2:$B$251,"&lt;="&amp;EOMONTH(A45,0))</f>
        <v>55</v>
      </c>
      <c r="E45" s="12">
        <f t="shared" si="3"/>
        <v>0.13264003615161379</v>
      </c>
      <c r="F45" s="11" t="str">
        <f t="shared" si="1"/>
        <v>Jun-24</v>
      </c>
    </row>
    <row r="46" spans="1:9" x14ac:dyDescent="0.35">
      <c r="A46" s="18">
        <f t="shared" si="2"/>
        <v>45474</v>
      </c>
      <c r="B46" s="9">
        <f>SUMIFS('Raw Data'!$N$2:$N$251,'Raw Data'!$B$2:$B$251,"&gt;="&amp;A46,'Raw Data'!$B$2:$B$251,"&lt;="&amp;EOMONTH(A46,0))</f>
        <v>18479.399999999994</v>
      </c>
      <c r="C46" s="10">
        <f>COUNTIFS('Raw Data'!$B$2:$B$251,"&gt;="&amp;A46,'Raw Data'!$B$2:$B$251,"&lt;="&amp;EOMONTH(A46,0))</f>
        <v>24</v>
      </c>
      <c r="D46" s="10">
        <f>SUMIFS('Raw Data'!$H$2:$H$251,'Raw Data'!$B$2:$B$251,"&gt;="&amp;A46,'Raw Data'!$B$2:$B$251,"&lt;="&amp;EOMONTH(A46,0))</f>
        <v>60</v>
      </c>
      <c r="E46" s="12">
        <f t="shared" si="3"/>
        <v>-4.2490848184793206E-2</v>
      </c>
      <c r="F46" s="11" t="str">
        <f t="shared" si="1"/>
        <v>Jul-24</v>
      </c>
    </row>
    <row r="47" spans="1:9" x14ac:dyDescent="0.35">
      <c r="A47" s="18">
        <f t="shared" si="2"/>
        <v>45505</v>
      </c>
      <c r="B47" s="9">
        <f>SUMIFS('Raw Data'!$N$2:$N$251,'Raw Data'!$B$2:$B$251,"&gt;="&amp;A47,'Raw Data'!$B$2:$B$251,"&lt;="&amp;EOMONTH(A47,0))</f>
        <v>15759.429999999998</v>
      </c>
      <c r="C47" s="10">
        <f>COUNTIFS('Raw Data'!$B$2:$B$251,"&gt;="&amp;A47,'Raw Data'!$B$2:$B$251,"&lt;="&amp;EOMONTH(A47,0))</f>
        <v>18</v>
      </c>
      <c r="D47" s="10">
        <f>SUMIFS('Raw Data'!$H$2:$H$251,'Raw Data'!$B$2:$B$251,"&gt;="&amp;A47,'Raw Data'!$B$2:$B$251,"&lt;="&amp;EOMONTH(A47,0))</f>
        <v>57</v>
      </c>
      <c r="E47" s="12">
        <f t="shared" si="3"/>
        <v>-0.14718930268298736</v>
      </c>
      <c r="F47" s="11" t="str">
        <f t="shared" si="1"/>
        <v>Aug-24</v>
      </c>
    </row>
    <row r="48" spans="1:9" x14ac:dyDescent="0.35">
      <c r="A48" s="18">
        <f t="shared" si="2"/>
        <v>45536</v>
      </c>
      <c r="B48" s="9">
        <f>SUMIFS('Raw Data'!$N$2:$N$251,'Raw Data'!$B$2:$B$251,"&gt;="&amp;A48,'Raw Data'!$B$2:$B$251,"&lt;="&amp;EOMONTH(A48,0))</f>
        <v>12989.509999999998</v>
      </c>
      <c r="C48" s="10">
        <f>COUNTIFS('Raw Data'!$B$2:$B$251,"&gt;="&amp;A48,'Raw Data'!$B$2:$B$251,"&lt;="&amp;EOMONTH(A48,0))</f>
        <v>19</v>
      </c>
      <c r="D48" s="10">
        <f>SUMIFS('Raw Data'!$H$2:$H$251,'Raw Data'!$B$2:$B$251,"&gt;="&amp;A48,'Raw Data'!$B$2:$B$251,"&lt;="&amp;EOMONTH(A48,0))</f>
        <v>49</v>
      </c>
      <c r="E48" s="12">
        <f t="shared" si="3"/>
        <v>-0.17576270207742284</v>
      </c>
      <c r="F48" s="11" t="str">
        <f t="shared" si="1"/>
        <v>Sep-24</v>
      </c>
    </row>
    <row r="49" spans="1:9" x14ac:dyDescent="0.35">
      <c r="A49" s="18">
        <f t="shared" si="2"/>
        <v>45566</v>
      </c>
      <c r="B49" s="9">
        <f>SUMIFS('Raw Data'!$N$2:$N$251,'Raw Data'!$B$2:$B$251,"&gt;="&amp;A49,'Raw Data'!$B$2:$B$251,"&lt;="&amp;EOMONTH(A49,0))</f>
        <v>20609.52</v>
      </c>
      <c r="C49" s="10">
        <f>COUNTIFS('Raw Data'!$B$2:$B$251,"&gt;="&amp;A49,'Raw Data'!$B$2:$B$251,"&lt;="&amp;EOMONTH(A49,0))</f>
        <v>16</v>
      </c>
      <c r="D49" s="10">
        <f>SUMIFS('Raw Data'!$H$2:$H$251,'Raw Data'!$B$2:$B$251,"&gt;="&amp;A49,'Raw Data'!$B$2:$B$251,"&lt;="&amp;EOMONTH(A49,0))</f>
        <v>48</v>
      </c>
      <c r="E49" s="12">
        <f t="shared" si="3"/>
        <v>0.58662797903847053</v>
      </c>
      <c r="F49" s="11" t="str">
        <f t="shared" si="1"/>
        <v>Oct-24</v>
      </c>
    </row>
    <row r="50" spans="1:9" x14ac:dyDescent="0.35">
      <c r="A50" s="18">
        <f t="shared" si="2"/>
        <v>45597</v>
      </c>
      <c r="B50" s="9">
        <f>SUMIFS('Raw Data'!$N$2:$N$251,'Raw Data'!$B$2:$B$251,"&gt;="&amp;A50,'Raw Data'!$B$2:$B$251,"&lt;="&amp;EOMONTH(A50,0))</f>
        <v>12309.44</v>
      </c>
      <c r="C50" s="10">
        <f>COUNTIFS('Raw Data'!$B$2:$B$251,"&gt;="&amp;A50,'Raw Data'!$B$2:$B$251,"&lt;="&amp;EOMONTH(A50,0))</f>
        <v>17</v>
      </c>
      <c r="D50" s="10">
        <f>SUMIFS('Raw Data'!$H$2:$H$251,'Raw Data'!$B$2:$B$251,"&gt;="&amp;A50,'Raw Data'!$B$2:$B$251,"&lt;="&amp;EOMONTH(A50,0))</f>
        <v>56</v>
      </c>
      <c r="E50" s="12">
        <f t="shared" si="3"/>
        <v>-0.40273038867474831</v>
      </c>
      <c r="F50" s="11" t="str">
        <f t="shared" si="1"/>
        <v>Nov-24</v>
      </c>
    </row>
    <row r="51" spans="1:9" x14ac:dyDescent="0.35">
      <c r="A51" s="18">
        <f t="shared" si="2"/>
        <v>45627</v>
      </c>
      <c r="B51" s="9">
        <f>SUMIFS('Raw Data'!$N$2:$N$251,'Raw Data'!$B$2:$B$251,"&gt;="&amp;A51,'Raw Data'!$B$2:$B$251,"&lt;="&amp;EOMONTH(A51,0))</f>
        <v>23039.3</v>
      </c>
      <c r="C51" s="10">
        <f>COUNTIFS('Raw Data'!$B$2:$B$251,"&gt;="&amp;A51,'Raw Data'!$B$2:$B$251,"&lt;="&amp;EOMONTH(A51,0))</f>
        <v>25</v>
      </c>
      <c r="D51" s="10">
        <f>SUMIFS('Raw Data'!$H$2:$H$251,'Raw Data'!$B$2:$B$251,"&gt;="&amp;A51,'Raw Data'!$B$2:$B$251,"&lt;="&amp;EOMONTH(A51,0))</f>
        <v>70</v>
      </c>
      <c r="E51" s="12">
        <f t="shared" si="3"/>
        <v>0.8716773468167518</v>
      </c>
      <c r="F51" s="11" t="str">
        <f t="shared" si="1"/>
        <v>Dec-24</v>
      </c>
    </row>
    <row r="52" spans="1:9" x14ac:dyDescent="0.35">
      <c r="A52" s="18">
        <f t="shared" si="2"/>
        <v>45658</v>
      </c>
      <c r="B52" s="9">
        <f>SUMIFS('Raw Data'!$N$2:$N$251,'Raw Data'!$B$2:$B$251,"&gt;="&amp;A52,'Raw Data'!$B$2:$B$251,"&lt;="&amp;EOMONTH(A52,0))</f>
        <v>25799.149999999998</v>
      </c>
      <c r="C52" s="10">
        <f>COUNTIFS('Raw Data'!$B$2:$B$251,"&gt;="&amp;A52,'Raw Data'!$B$2:$B$251,"&lt;="&amp;EOMONTH(A52,0))</f>
        <v>26</v>
      </c>
      <c r="D52" s="10">
        <f>SUMIFS('Raw Data'!$H$2:$H$251,'Raw Data'!$B$2:$B$251,"&gt;="&amp;A52,'Raw Data'!$B$2:$B$251,"&lt;="&amp;EOMONTH(A52,0))</f>
        <v>85</v>
      </c>
      <c r="E52" s="12">
        <f t="shared" si="3"/>
        <v>0.11978879566653489</v>
      </c>
      <c r="F52" s="11" t="str">
        <f t="shared" si="1"/>
        <v>Jan-25</v>
      </c>
    </row>
    <row r="53" spans="1:9" x14ac:dyDescent="0.35">
      <c r="A53" s="18">
        <f t="shared" si="2"/>
        <v>45689</v>
      </c>
      <c r="B53" s="9">
        <f>SUMIFS('Raw Data'!$N$2:$N$251,'Raw Data'!$B$2:$B$251,"&gt;="&amp;A53,'Raw Data'!$B$2:$B$251,"&lt;="&amp;EOMONTH(A53,0))</f>
        <v>16069.379999999997</v>
      </c>
      <c r="C53" s="10">
        <f>COUNTIFS('Raw Data'!$B$2:$B$251,"&gt;="&amp;A53,'Raw Data'!$B$2:$B$251,"&lt;="&amp;EOMONTH(A53,0))</f>
        <v>20</v>
      </c>
      <c r="D53" s="10">
        <f>SUMIFS('Raw Data'!$H$2:$H$251,'Raw Data'!$B$2:$B$251,"&gt;="&amp;A53,'Raw Data'!$B$2:$B$251,"&lt;="&amp;EOMONTH(A53,0))</f>
        <v>62</v>
      </c>
      <c r="E53" s="12">
        <f t="shared" si="3"/>
        <v>-0.37713529321702466</v>
      </c>
      <c r="F53" s="11" t="str">
        <f t="shared" si="1"/>
        <v>Feb-25</v>
      </c>
    </row>
    <row r="54" spans="1:9" x14ac:dyDescent="0.35">
      <c r="A54" s="18">
        <f t="shared" si="2"/>
        <v>45717</v>
      </c>
      <c r="B54" s="9">
        <f>SUMIFS('Raw Data'!$N$2:$N$251,'Raw Data'!$B$2:$B$251,"&gt;="&amp;A54,'Raw Data'!$B$2:$B$251,"&lt;="&amp;EOMONTH(A54,0))</f>
        <v>19899.379999999997</v>
      </c>
      <c r="C54" s="10">
        <f>COUNTIFS('Raw Data'!$B$2:$B$251,"&gt;="&amp;A54,'Raw Data'!$B$2:$B$251,"&lt;="&amp;EOMONTH(A54,0))</f>
        <v>19</v>
      </c>
      <c r="D54" s="10">
        <f>SUMIFS('Raw Data'!$H$2:$H$251,'Raw Data'!$B$2:$B$251,"&gt;="&amp;A54,'Raw Data'!$B$2:$B$251,"&lt;="&amp;EOMONTH(A54,0))</f>
        <v>62</v>
      </c>
      <c r="E54" s="12">
        <f t="shared" si="3"/>
        <v>0.23834149170658736</v>
      </c>
      <c r="F54" s="11" t="str">
        <f t="shared" si="1"/>
        <v>Mar-25</v>
      </c>
    </row>
    <row r="55" spans="1:9" x14ac:dyDescent="0.35">
      <c r="A55" s="18">
        <f t="shared" si="2"/>
        <v>45748</v>
      </c>
      <c r="B55" s="9">
        <f>SUMIFS('Raw Data'!$N$2:$N$251,'Raw Data'!$B$2:$B$251,"&gt;="&amp;A55,'Raw Data'!$B$2:$B$251,"&lt;="&amp;EOMONTH(A55,0))</f>
        <v>6979.83</v>
      </c>
      <c r="C55" s="10">
        <f>COUNTIFS('Raw Data'!$B$2:$B$251,"&gt;="&amp;A55,'Raw Data'!$B$2:$B$251,"&lt;="&amp;EOMONTH(A55,0))</f>
        <v>7</v>
      </c>
      <c r="D55" s="10">
        <f>SUMIFS('Raw Data'!$H$2:$H$251,'Raw Data'!$B$2:$B$251,"&gt;="&amp;A55,'Raw Data'!$B$2:$B$251,"&lt;="&amp;EOMONTH(A55,0))</f>
        <v>17</v>
      </c>
      <c r="E55" s="12">
        <f t="shared" si="3"/>
        <v>-0.64924384578816019</v>
      </c>
      <c r="F55" s="11" t="str">
        <f t="shared" si="1"/>
        <v>Apr-25</v>
      </c>
    </row>
    <row r="56" spans="1:9" x14ac:dyDescent="0.35">
      <c r="A56" s="8" t="s">
        <v>421</v>
      </c>
      <c r="B56" s="14">
        <f>SUM(B43:B55)</f>
        <v>229192.46999999997</v>
      </c>
      <c r="C56" s="15">
        <f>SUM(C43:C55)</f>
        <v>250</v>
      </c>
      <c r="D56" s="15">
        <f>SUM(D43:D55)</f>
        <v>753</v>
      </c>
    </row>
    <row r="57" spans="1:9" x14ac:dyDescent="0.35">
      <c r="A57" s="19"/>
    </row>
    <row r="58" spans="1:9" ht="15.5" x14ac:dyDescent="0.35">
      <c r="A58" s="45" t="s">
        <v>430</v>
      </c>
      <c r="B58" s="46"/>
      <c r="C58" s="46"/>
      <c r="D58" s="46"/>
      <c r="E58" s="46"/>
      <c r="F58" s="46"/>
      <c r="G58" s="46"/>
      <c r="H58" s="46"/>
      <c r="I58" s="46"/>
    </row>
    <row r="59" spans="1:9" x14ac:dyDescent="0.35">
      <c r="A59" s="49" t="s">
        <v>9</v>
      </c>
      <c r="B59" s="49" t="s">
        <v>415</v>
      </c>
      <c r="C59" s="49" t="s">
        <v>416</v>
      </c>
      <c r="D59" s="49" t="s">
        <v>417</v>
      </c>
      <c r="E59" s="49" t="s">
        <v>418</v>
      </c>
      <c r="F59" s="49" t="s">
        <v>419</v>
      </c>
    </row>
    <row r="60" spans="1:9" x14ac:dyDescent="0.35">
      <c r="A60" s="11" t="s">
        <v>27</v>
      </c>
      <c r="B60" s="9">
        <f>SUMIFS('Raw Data'!$N$2:$N$251,'Raw Data'!$J$2:$J$251,$A60)</f>
        <v>57427.790000000023</v>
      </c>
      <c r="C60" s="10">
        <f>COUNTIFS('Raw Data'!$J$2:$J$251,$A60)</f>
        <v>76</v>
      </c>
      <c r="D60" s="10">
        <f>SUMIFS('Raw Data'!$H$2:$H$251,'Raw Data'!$J$2:$J$251,$A60)</f>
        <v>221</v>
      </c>
      <c r="E60" s="12">
        <f>B60/$B$64</f>
        <v>0.25056577993160078</v>
      </c>
      <c r="F60" s="9">
        <f>IFERROR(B60/C60,0)</f>
        <v>755.62881578947395</v>
      </c>
    </row>
    <row r="61" spans="1:9" x14ac:dyDescent="0.35">
      <c r="A61" s="11" t="s">
        <v>33</v>
      </c>
      <c r="B61" s="9">
        <f>SUMIFS('Raw Data'!$N$2:$N$251,'Raw Data'!$J$2:$J$251,$A61)</f>
        <v>61447.960000000014</v>
      </c>
      <c r="C61" s="10">
        <f>COUNTIFS('Raw Data'!$J$2:$J$251,$A61)</f>
        <v>68</v>
      </c>
      <c r="D61" s="10">
        <f>SUMIFS('Raw Data'!$H$2:$H$251,'Raw Data'!$J$2:$J$251,$A61)</f>
        <v>204</v>
      </c>
      <c r="E61" s="12">
        <f>B61/$B$64</f>
        <v>0.26810636492551437</v>
      </c>
      <c r="F61" s="9">
        <f>IFERROR(B61/C61,0)</f>
        <v>903.6464705882355</v>
      </c>
    </row>
    <row r="62" spans="1:9" x14ac:dyDescent="0.35">
      <c r="A62" s="11" t="s">
        <v>64</v>
      </c>
      <c r="B62" s="9">
        <f>SUMIFS('Raw Data'!$N$2:$N$251,'Raw Data'!$J$2:$J$251,$A62)</f>
        <v>52118.310000000005</v>
      </c>
      <c r="C62" s="10">
        <f>COUNTIFS('Raw Data'!$J$2:$J$251,$A62)</f>
        <v>54</v>
      </c>
      <c r="D62" s="10">
        <f>SUMIFS('Raw Data'!$H$2:$H$251,'Raw Data'!$J$2:$J$251,$A62)</f>
        <v>169</v>
      </c>
      <c r="E62" s="12">
        <f>B62/$B$64</f>
        <v>0.22739974834251753</v>
      </c>
      <c r="F62" s="9">
        <f>IFERROR(B62/C62,0)</f>
        <v>965.15388888888901</v>
      </c>
    </row>
    <row r="63" spans="1:9" x14ac:dyDescent="0.35">
      <c r="A63" s="11" t="s">
        <v>41</v>
      </c>
      <c r="B63" s="9">
        <f>SUMIFS('Raw Data'!$N$2:$N$251,'Raw Data'!$J$2:$J$251,$A63)</f>
        <v>58198.409999999996</v>
      </c>
      <c r="C63" s="10">
        <f>COUNTIFS('Raw Data'!$J$2:$J$251,$A63)</f>
        <v>52</v>
      </c>
      <c r="D63" s="10">
        <f>SUMIFS('Raw Data'!$H$2:$H$251,'Raw Data'!$J$2:$J$251,$A63)</f>
        <v>159</v>
      </c>
      <c r="E63" s="12">
        <f>B63/$B$64</f>
        <v>0.25392810680036737</v>
      </c>
      <c r="F63" s="9">
        <f>IFERROR(B63/C63,0)</f>
        <v>1119.2001923076923</v>
      </c>
    </row>
    <row r="64" spans="1:9" x14ac:dyDescent="0.35">
      <c r="A64" s="8" t="s">
        <v>421</v>
      </c>
      <c r="B64" s="14">
        <f>SUM(B60:B63)</f>
        <v>229192.47000000003</v>
      </c>
      <c r="C64" s="15">
        <f>SUM(C60:C63)</f>
        <v>250</v>
      </c>
      <c r="D64" s="15">
        <f>SUM(D60:D63)</f>
        <v>753</v>
      </c>
      <c r="E64" s="16">
        <f>SUM(E60:E63)</f>
        <v>1</v>
      </c>
      <c r="F64" s="14">
        <f>B64/C64</f>
        <v>916.76988000000017</v>
      </c>
    </row>
    <row r="66" spans="1:9" ht="15.5" x14ac:dyDescent="0.35">
      <c r="A66" s="45" t="s">
        <v>431</v>
      </c>
      <c r="B66" s="46"/>
      <c r="C66" s="46"/>
      <c r="D66" s="46"/>
      <c r="E66" s="46"/>
      <c r="F66" s="46"/>
      <c r="G66" s="46"/>
      <c r="H66" s="46"/>
      <c r="I66" s="46"/>
    </row>
    <row r="67" spans="1:9" x14ac:dyDescent="0.35">
      <c r="A67" s="49" t="s">
        <v>11</v>
      </c>
      <c r="B67" s="49" t="s">
        <v>415</v>
      </c>
      <c r="C67" s="49" t="s">
        <v>416</v>
      </c>
      <c r="D67" s="49" t="s">
        <v>417</v>
      </c>
      <c r="E67" s="49" t="s">
        <v>418</v>
      </c>
      <c r="F67" s="49" t="s">
        <v>419</v>
      </c>
    </row>
    <row r="68" spans="1:9" x14ac:dyDescent="0.35">
      <c r="A68" s="11" t="s">
        <v>29</v>
      </c>
      <c r="B68" s="9">
        <f>SUMIFS('Raw Data'!$N$2:$N$251,'Raw Data'!$L$2:$L$251,$A68)</f>
        <v>62177.810000000019</v>
      </c>
      <c r="C68" s="10">
        <f>COUNTIFS('Raw Data'!$L$2:$L$251,$A68)</f>
        <v>74</v>
      </c>
      <c r="D68" s="10">
        <f>SUMIFS('Raw Data'!$H$2:$H$251,'Raw Data'!$L$2:$L$251,$A68)</f>
        <v>219</v>
      </c>
      <c r="E68" s="12">
        <f>B68/$B$71</f>
        <v>0.27129080636898761</v>
      </c>
      <c r="F68" s="9">
        <f>IFERROR(B68/C68,0)</f>
        <v>840.2406756756759</v>
      </c>
    </row>
    <row r="69" spans="1:9" x14ac:dyDescent="0.35">
      <c r="A69" s="11" t="s">
        <v>34</v>
      </c>
      <c r="B69" s="9">
        <f>SUMIFS('Raw Data'!$N$2:$N$251,'Raw Data'!$L$2:$L$251,$A69)</f>
        <v>84657.12000000001</v>
      </c>
      <c r="C69" s="10">
        <f>COUNTIFS('Raw Data'!$L$2:$L$251,$A69)</f>
        <v>95</v>
      </c>
      <c r="D69" s="10">
        <f>SUMIFS('Raw Data'!$H$2:$H$251,'Raw Data'!$L$2:$L$251,$A69)</f>
        <v>288</v>
      </c>
      <c r="E69" s="12">
        <f>B69/$B$71</f>
        <v>0.36937129740780744</v>
      </c>
      <c r="F69" s="9">
        <f>IFERROR(B69/C69,0)</f>
        <v>891.12757894736853</v>
      </c>
    </row>
    <row r="70" spans="1:9" x14ac:dyDescent="0.35">
      <c r="A70" s="11" t="s">
        <v>43</v>
      </c>
      <c r="B70" s="9">
        <f>SUMIFS('Raw Data'!$N$2:$N$251,'Raw Data'!$L$2:$L$251,$A70)</f>
        <v>82357.540000000037</v>
      </c>
      <c r="C70" s="10">
        <f>COUNTIFS('Raw Data'!$L$2:$L$251,$A70)</f>
        <v>81</v>
      </c>
      <c r="D70" s="10">
        <f>SUMIFS('Raw Data'!$H$2:$H$251,'Raw Data'!$L$2:$L$251,$A70)</f>
        <v>246</v>
      </c>
      <c r="E70" s="12">
        <f>B70/$B$71</f>
        <v>0.35933789622320494</v>
      </c>
      <c r="F70" s="9">
        <f>IFERROR(B70/C70,0)</f>
        <v>1016.7597530864202</v>
      </c>
    </row>
    <row r="71" spans="1:9" x14ac:dyDescent="0.35">
      <c r="A71" s="8" t="s">
        <v>421</v>
      </c>
      <c r="B71" s="14">
        <f>SUM(B68:B70)</f>
        <v>229192.47000000006</v>
      </c>
      <c r="C71" s="15">
        <f>SUM(C68:C70)</f>
        <v>250</v>
      </c>
      <c r="D71" s="15">
        <f>SUM(D68:D70)</f>
        <v>753</v>
      </c>
      <c r="E71" s="16">
        <f>SUM(E68:E70)</f>
        <v>1</v>
      </c>
      <c r="F71" s="14">
        <f>B71/C71</f>
        <v>916.76988000000028</v>
      </c>
    </row>
    <row r="73" spans="1:9" ht="15.5" x14ac:dyDescent="0.35">
      <c r="A73" s="45" t="s">
        <v>432</v>
      </c>
      <c r="B73" s="46"/>
      <c r="C73" s="46"/>
      <c r="D73" s="46"/>
      <c r="E73" s="46"/>
      <c r="F73" s="46"/>
      <c r="G73" s="46"/>
      <c r="H73" s="46"/>
      <c r="I73" s="46"/>
    </row>
    <row r="74" spans="1:9" x14ac:dyDescent="0.35">
      <c r="A74" s="49" t="s">
        <v>433</v>
      </c>
      <c r="B74" s="49" t="s">
        <v>434</v>
      </c>
      <c r="C74" s="49" t="s">
        <v>435</v>
      </c>
    </row>
    <row r="75" spans="1:9" x14ac:dyDescent="0.35">
      <c r="A75" s="11" t="s">
        <v>436</v>
      </c>
      <c r="B75" s="11" t="str">
        <f>INDEX(B29:B38,MATCH(MAX(E29:E38),E29:E38,0))</f>
        <v>Bookshelf</v>
      </c>
      <c r="C75" s="10">
        <f>MAX(E29:E38)</f>
        <v>35</v>
      </c>
    </row>
    <row r="76" spans="1:9" x14ac:dyDescent="0.35">
      <c r="A76" s="11" t="s">
        <v>437</v>
      </c>
      <c r="B76" s="11" t="str">
        <f>INDEX(B29:B38,MATCH(MAX(F29:F38),F29:F38,0))</f>
        <v>Bookshelf</v>
      </c>
      <c r="C76" s="10">
        <f>MAX(F29:F38)</f>
        <v>102</v>
      </c>
    </row>
    <row r="77" spans="1:9" x14ac:dyDescent="0.35">
      <c r="A77" s="11" t="s">
        <v>438</v>
      </c>
      <c r="B77" s="11" t="str">
        <f>INDEX(B29:B38,MATCH(MAX(G29:G38),G29:G38,0))</f>
        <v>Laptop</v>
      </c>
      <c r="C77" s="9">
        <f>MAX(G29:G38)</f>
        <v>67499.25</v>
      </c>
    </row>
    <row r="78" spans="1:9" x14ac:dyDescent="0.35">
      <c r="A78" s="11" t="s">
        <v>439</v>
      </c>
      <c r="B78" s="11" t="str">
        <f>INDEX('Raw Data'!$D$2:$D$251,MATCH(MAX('Raw Data'!$S$2:$S$251),'Raw Data'!$S$2:$S$251,0))</f>
        <v>Mark Carter</v>
      </c>
      <c r="C78" s="10">
        <f>MAX('Raw Data'!$S$2:$S$251)</f>
        <v>12</v>
      </c>
    </row>
    <row r="79" spans="1:9" x14ac:dyDescent="0.35">
      <c r="A79" s="11" t="s">
        <v>440</v>
      </c>
      <c r="B79" s="10">
        <f>COUNTIF('Raw Data'!$T$2:$T$251,"Repeat")</f>
        <v>200</v>
      </c>
      <c r="C79" s="10"/>
    </row>
    <row r="80" spans="1:9" x14ac:dyDescent="0.35">
      <c r="A80" s="11" t="s">
        <v>441</v>
      </c>
      <c r="B80" s="10">
        <f>COUNTIF('Raw Data'!$T$2:$T$251,"First")</f>
        <v>50</v>
      </c>
      <c r="C80" s="10"/>
    </row>
    <row r="82" spans="1:9" ht="15.5" x14ac:dyDescent="0.35">
      <c r="A82" s="45" t="s">
        <v>442</v>
      </c>
      <c r="B82" s="46"/>
      <c r="C82" s="46"/>
      <c r="D82" s="46"/>
      <c r="E82" s="46"/>
      <c r="F82" s="46"/>
      <c r="G82" s="46"/>
      <c r="H82" s="46"/>
      <c r="I82" s="46"/>
    </row>
    <row r="83" spans="1:9" x14ac:dyDescent="0.35">
      <c r="A83" s="49" t="s">
        <v>443</v>
      </c>
      <c r="B83" s="49" t="s">
        <v>444</v>
      </c>
      <c r="C83" s="49" t="s">
        <v>417</v>
      </c>
      <c r="D83" s="49" t="s">
        <v>415</v>
      </c>
    </row>
    <row r="84" spans="1:9" x14ac:dyDescent="0.35">
      <c r="A84" s="17">
        <v>1</v>
      </c>
      <c r="B84" s="11" t="str">
        <f>INDEX($B$29:$B$38,MATCH(A84,$H$29:$H$38,0))</f>
        <v>Bookshelf</v>
      </c>
      <c r="C84" s="10">
        <f>INDEX($F$29:$F$38,MATCH(A84,$H$29:$H$38,0))</f>
        <v>102</v>
      </c>
      <c r="D84" s="9">
        <f>INDEX($G$29:$G$38,MATCH(A84,$H$29:$H$38,0))</f>
        <v>15298.979999999994</v>
      </c>
    </row>
    <row r="85" spans="1:9" x14ac:dyDescent="0.35">
      <c r="A85" s="17">
        <v>2</v>
      </c>
      <c r="B85" s="11" t="str">
        <f>INDEX($B$29:$B$38,MATCH(A85,$H$29:$H$38,0))</f>
        <v>Smartphone</v>
      </c>
      <c r="C85" s="10">
        <f>INDEX($F$29:$F$38,MATCH(A85,$H$29:$H$38,0))</f>
        <v>96</v>
      </c>
      <c r="D85" s="9">
        <f>INDEX($G$29:$G$38,MATCH(A85,$H$29:$H$38,0))</f>
        <v>67199.039999999994</v>
      </c>
    </row>
    <row r="86" spans="1:9" x14ac:dyDescent="0.35">
      <c r="A86" s="17">
        <v>3</v>
      </c>
      <c r="B86" s="11" t="str">
        <f>INDEX($B$29:$B$38,MATCH(A86,$H$29:$H$38,0))</f>
        <v>Keyboard</v>
      </c>
      <c r="C86" s="10">
        <f>INDEX($F$29:$F$38,MATCH(A86,$H$29:$H$38,0))</f>
        <v>89</v>
      </c>
      <c r="D86" s="9">
        <f>INDEX($G$29:$G$38,MATCH(A86,$H$29:$H$38,0))</f>
        <v>8009.1099999999969</v>
      </c>
    </row>
    <row r="87" spans="1:9" x14ac:dyDescent="0.35">
      <c r="A87" s="17">
        <v>4</v>
      </c>
      <c r="B87" s="11" t="str">
        <f>INDEX($B$29:$B$38,MATCH(A87,$H$29:$H$38,0))</f>
        <v>Monitor</v>
      </c>
      <c r="C87" s="10">
        <f>INDEX($F$29:$F$38,MATCH(A87,$H$29:$H$38,0))</f>
        <v>88</v>
      </c>
      <c r="D87" s="9">
        <f>INDEX($G$29:$G$38,MATCH(A87,$H$29:$H$38,0))</f>
        <v>21999.119999999999</v>
      </c>
    </row>
    <row r="88" spans="1:9" x14ac:dyDescent="0.35">
      <c r="A88" s="17">
        <v>5</v>
      </c>
      <c r="B88" s="11" t="str">
        <f>INDEX($B$29:$B$38,MATCH(A88,$H$29:$H$38,0))</f>
        <v>Blender</v>
      </c>
      <c r="C88" s="10">
        <f>INDEX($F$29:$F$38,MATCH(A88,$H$29:$H$38,0))</f>
        <v>87</v>
      </c>
      <c r="D88" s="9">
        <f>INDEX($G$29:$G$38,MATCH(A88,$H$29:$H$38,0))</f>
        <v>5219.1299999999974</v>
      </c>
    </row>
  </sheetData>
  <mergeCells count="2">
    <mergeCell ref="A1:I1"/>
    <mergeCell ref="A2:I2"/>
  </mergeCells>
  <conditionalFormatting sqref="E44:E55">
    <cfRule type="iconSet" priority="2">
      <iconSet iconSet="3Arrows">
        <cfvo type="num" val="-100"/>
        <cfvo type="num" val="0"/>
        <cfvo type="num" val="1E-4"/>
      </iconSet>
    </cfRule>
  </conditionalFormatting>
  <conditionalFormatting sqref="G13:G17">
    <cfRule type="iconSet" priority="1">
      <iconSet iconSet="3Arrows">
        <cfvo type="num" val="0"/>
        <cfvo type="num" val="0.95"/>
        <cfvo type="num" val="1.05"/>
      </iconSet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"/>
  <sheetViews>
    <sheetView showGridLines="0" workbookViewId="0">
      <pane ySplit="7" topLeftCell="A8" activePane="bottomLeft" state="frozen"/>
      <selection pane="bottomLeft" activeCell="A153" sqref="A153"/>
    </sheetView>
  </sheetViews>
  <sheetFormatPr defaultRowHeight="14.5" x14ac:dyDescent="0.35"/>
  <cols>
    <col min="1" max="3" width="26" customWidth="1"/>
    <col min="4" max="4" width="15" customWidth="1"/>
    <col min="5" max="5" width="12" customWidth="1"/>
    <col min="6" max="7" width="14" customWidth="1"/>
    <col min="8" max="8" width="16" customWidth="1"/>
    <col min="9" max="9" width="12" customWidth="1"/>
    <col min="10" max="10" width="13" customWidth="1"/>
    <col min="11" max="12" width="12" customWidth="1"/>
    <col min="13" max="14" width="10" customWidth="1"/>
  </cols>
  <sheetData>
    <row r="1" spans="1:14" ht="28" customHeight="1" x14ac:dyDescent="0.35">
      <c r="A1" s="43" t="s">
        <v>445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x14ac:dyDescent="0.35">
      <c r="A2" s="39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4" spans="1:14" x14ac:dyDescent="0.35">
      <c r="A4" s="8" t="s">
        <v>446</v>
      </c>
      <c r="B4" s="20">
        <v>0.8</v>
      </c>
      <c r="D4" s="19"/>
    </row>
    <row r="5" spans="1:14" x14ac:dyDescent="0.35">
      <c r="A5" s="11" t="s">
        <v>447</v>
      </c>
      <c r="B5" s="9">
        <f>PERCENTILE($G$8:$G$57,B4)</f>
        <v>6557.8000000000011</v>
      </c>
    </row>
    <row r="7" spans="1:14" ht="26" x14ac:dyDescent="0.35">
      <c r="A7" s="49" t="s">
        <v>2</v>
      </c>
      <c r="B7" s="49" t="s">
        <v>3</v>
      </c>
      <c r="C7" s="49" t="s">
        <v>448</v>
      </c>
      <c r="D7" s="49" t="s">
        <v>449</v>
      </c>
      <c r="E7" s="49" t="s">
        <v>416</v>
      </c>
      <c r="F7" s="49" t="s">
        <v>417</v>
      </c>
      <c r="G7" s="49" t="s">
        <v>415</v>
      </c>
      <c r="H7" s="49" t="s">
        <v>419</v>
      </c>
      <c r="I7" s="49" t="s">
        <v>450</v>
      </c>
      <c r="J7" s="49" t="s">
        <v>451</v>
      </c>
      <c r="K7" s="49" t="s">
        <v>452</v>
      </c>
      <c r="L7" s="49" t="s">
        <v>453</v>
      </c>
      <c r="M7" s="49" t="s">
        <v>454</v>
      </c>
      <c r="N7" s="49" t="s">
        <v>455</v>
      </c>
    </row>
    <row r="8" spans="1:14" x14ac:dyDescent="0.35">
      <c r="A8" s="11" t="s">
        <v>393</v>
      </c>
      <c r="B8" s="11" t="str">
        <f>INDEX('Raw Data'!$D$2:$D$251,MATCH(A8,'Raw Data'!$C$2:$C$251,0))</f>
        <v>John Smith</v>
      </c>
      <c r="C8" s="11" t="str">
        <f t="shared" ref="C8:C39" si="0">UPPER(LEFT(B8,1))&amp;UPPER(MID(B8,FIND(" ",B8)+1,1))</f>
        <v>JS</v>
      </c>
      <c r="D8" s="11" t="str">
        <f t="shared" ref="D8:D39" si="1">C8&amp;"-"&amp;TEXT(VALUE(RIGHT(A8,3)),"000")</f>
        <v>JS-001</v>
      </c>
      <c r="E8" s="10">
        <f>COUNTIFS('Raw Data'!$C$2:$C$251,A8)</f>
        <v>1</v>
      </c>
      <c r="F8" s="10">
        <f>SUMIFS('Raw Data'!$H$2:$H$251,'Raw Data'!$C$2:$C$251,A8)</f>
        <v>4</v>
      </c>
      <c r="G8" s="9">
        <f>SUMIFS('Raw Data'!$N$2:$N$251,'Raw Data'!$C$2:$C$251,A8)</f>
        <v>599.96</v>
      </c>
      <c r="H8" s="9">
        <f t="shared" ref="H8:H39" si="2">IFERROR(G8/E8,0)</f>
        <v>599.96</v>
      </c>
      <c r="I8" s="17">
        <f>RANK(G8,$G$8:$G$57)+COUNTIF($G$8:G8,G8)-1</f>
        <v>47</v>
      </c>
      <c r="J8" s="11" t="str">
        <f t="shared" ref="J8:J39" si="3">IF(G8&gt;=$B$5,"High-Value",IF(G8&gt;=MEDIAN($G$8:$G$57),"Mid-Value","Low-Value"))</f>
        <v>Low-Value</v>
      </c>
      <c r="K8" s="10">
        <f>COUNTIFS('Raw Data'!$C$2:$C$251,A8,'Raw Data'!$G$2:$G$251,"Electronics")</f>
        <v>0</v>
      </c>
      <c r="L8" s="10">
        <f>COUNTIFS('Raw Data'!$C$2:$C$251,A8,'Raw Data'!$G$2:$G$251,"Furniture")</f>
        <v>1</v>
      </c>
      <c r="M8" s="17" t="str">
        <f>IF(K8&gt;0,COUNTIF($K$8:K8,"&gt;0"),"")</f>
        <v/>
      </c>
      <c r="N8" s="17">
        <f>IF(L8&gt;0,COUNTIF($L$8:L8,"&gt;0"),"")</f>
        <v>1</v>
      </c>
    </row>
    <row r="9" spans="1:14" x14ac:dyDescent="0.35">
      <c r="A9" s="11" t="s">
        <v>139</v>
      </c>
      <c r="B9" s="11" t="str">
        <f>INDEX('Raw Data'!$D$2:$D$251,MATCH(A9,'Raw Data'!$C$2:$C$251,0))</f>
        <v>Emma Wilson</v>
      </c>
      <c r="C9" s="11" t="str">
        <f t="shared" si="0"/>
        <v>EW</v>
      </c>
      <c r="D9" s="11" t="str">
        <f t="shared" si="1"/>
        <v>EW-002</v>
      </c>
      <c r="E9" s="10">
        <f>COUNTIFS('Raw Data'!$C$2:$C$251,A9)</f>
        <v>5</v>
      </c>
      <c r="F9" s="10">
        <f>SUMIFS('Raw Data'!$H$2:$H$251,'Raw Data'!$C$2:$C$251,A9)</f>
        <v>12</v>
      </c>
      <c r="G9" s="9">
        <f>SUMIFS('Raw Data'!$N$2:$N$251,'Raw Data'!$C$2:$C$251,A9)</f>
        <v>1229.8800000000001</v>
      </c>
      <c r="H9" s="9">
        <f t="shared" si="2"/>
        <v>245.97600000000003</v>
      </c>
      <c r="I9" s="17">
        <f>RANK(G9,$G$8:$G$57)+COUNTIF($G$8:G9,G9)-1</f>
        <v>44</v>
      </c>
      <c r="J9" s="11" t="str">
        <f t="shared" si="3"/>
        <v>Low-Value</v>
      </c>
      <c r="K9" s="10">
        <f>COUNTIFS('Raw Data'!$C$2:$C$251,A9,'Raw Data'!$G$2:$G$251,"Electronics")</f>
        <v>1</v>
      </c>
      <c r="L9" s="10">
        <f>COUNTIFS('Raw Data'!$C$2:$C$251,A9,'Raw Data'!$G$2:$G$251,"Furniture")</f>
        <v>2</v>
      </c>
      <c r="M9" s="17">
        <f>IF(K9&gt;0,COUNTIF($K$8:K9,"&gt;0"),"")</f>
        <v>1</v>
      </c>
      <c r="N9" s="17">
        <f>IF(L9&gt;0,COUNTIF($L$8:L9,"&gt;0"),"")</f>
        <v>2</v>
      </c>
    </row>
    <row r="10" spans="1:14" x14ac:dyDescent="0.35">
      <c r="A10" s="11" t="s">
        <v>49</v>
      </c>
      <c r="B10" s="11" t="str">
        <f>INDEX('Raw Data'!$D$2:$D$251,MATCH(A10,'Raw Data'!$C$2:$C$251,0))</f>
        <v>Michael Brown</v>
      </c>
      <c r="C10" s="11" t="str">
        <f t="shared" si="0"/>
        <v>MB</v>
      </c>
      <c r="D10" s="11" t="str">
        <f t="shared" si="1"/>
        <v>MB-003</v>
      </c>
      <c r="E10" s="10">
        <f>COUNTIFS('Raw Data'!$C$2:$C$251,A10)</f>
        <v>9</v>
      </c>
      <c r="F10" s="10">
        <f>SUMIFS('Raw Data'!$H$2:$H$251,'Raw Data'!$C$2:$C$251,A10)</f>
        <v>26</v>
      </c>
      <c r="G10" s="9">
        <f>SUMIFS('Raw Data'!$N$2:$N$251,'Raw Data'!$C$2:$C$251,A10)</f>
        <v>6169.7400000000007</v>
      </c>
      <c r="H10" s="9">
        <f t="shared" si="2"/>
        <v>685.52666666666676</v>
      </c>
      <c r="I10" s="17">
        <f>RANK(G10,$G$8:$G$57)+COUNTIF($G$8:G10,G10)-1</f>
        <v>14</v>
      </c>
      <c r="J10" s="11" t="str">
        <f t="shared" si="3"/>
        <v>Mid-Value</v>
      </c>
      <c r="K10" s="10">
        <f>COUNTIFS('Raw Data'!$C$2:$C$251,A10,'Raw Data'!$G$2:$G$251,"Electronics")</f>
        <v>2</v>
      </c>
      <c r="L10" s="10">
        <f>COUNTIFS('Raw Data'!$C$2:$C$251,A10,'Raw Data'!$G$2:$G$251,"Furniture")</f>
        <v>7</v>
      </c>
      <c r="M10" s="17">
        <f>IF(K10&gt;0,COUNTIF($K$8:K10,"&gt;0"),"")</f>
        <v>2</v>
      </c>
      <c r="N10" s="17">
        <f>IF(L10&gt;0,COUNTIF($L$8:L10,"&gt;0"),"")</f>
        <v>3</v>
      </c>
    </row>
    <row r="11" spans="1:14" x14ac:dyDescent="0.35">
      <c r="A11" s="11" t="s">
        <v>161</v>
      </c>
      <c r="B11" s="11" t="str">
        <f>INDEX('Raw Data'!$D$2:$D$251,MATCH(A11,'Raw Data'!$C$2:$C$251,0))</f>
        <v>Sarah Davis</v>
      </c>
      <c r="C11" s="11" t="str">
        <f t="shared" si="0"/>
        <v>SD</v>
      </c>
      <c r="D11" s="11" t="str">
        <f t="shared" si="1"/>
        <v>SD-004</v>
      </c>
      <c r="E11" s="10">
        <f>COUNTIFS('Raw Data'!$C$2:$C$251,A11)</f>
        <v>5</v>
      </c>
      <c r="F11" s="10">
        <f>SUMIFS('Raw Data'!$H$2:$H$251,'Raw Data'!$C$2:$C$251,A11)</f>
        <v>19</v>
      </c>
      <c r="G11" s="9">
        <f>SUMIFS('Raw Data'!$N$2:$N$251,'Raw Data'!$C$2:$C$251,A11)</f>
        <v>5499.8099999999995</v>
      </c>
      <c r="H11" s="9">
        <f t="shared" si="2"/>
        <v>1099.962</v>
      </c>
      <c r="I11" s="17">
        <f>RANK(G11,$G$8:$G$57)+COUNTIF($G$8:G11,G11)-1</f>
        <v>19</v>
      </c>
      <c r="J11" s="11" t="str">
        <f t="shared" si="3"/>
        <v>Mid-Value</v>
      </c>
      <c r="K11" s="10">
        <f>COUNTIFS('Raw Data'!$C$2:$C$251,A11,'Raw Data'!$G$2:$G$251,"Electronics")</f>
        <v>3</v>
      </c>
      <c r="L11" s="10">
        <f>COUNTIFS('Raw Data'!$C$2:$C$251,A11,'Raw Data'!$G$2:$G$251,"Furniture")</f>
        <v>2</v>
      </c>
      <c r="M11" s="17">
        <f>IF(K11&gt;0,COUNTIF($K$8:K11,"&gt;0"),"")</f>
        <v>3</v>
      </c>
      <c r="N11" s="17">
        <f>IF(L11&gt;0,COUNTIF($L$8:L11,"&gt;0"),"")</f>
        <v>4</v>
      </c>
    </row>
    <row r="12" spans="1:14" x14ac:dyDescent="0.35">
      <c r="A12" s="11" t="s">
        <v>311</v>
      </c>
      <c r="B12" s="11" t="str">
        <f>INDEX('Raw Data'!$D$2:$D$251,MATCH(A12,'Raw Data'!$C$2:$C$251,0))</f>
        <v>James Johnson</v>
      </c>
      <c r="C12" s="11" t="str">
        <f t="shared" si="0"/>
        <v>JJ</v>
      </c>
      <c r="D12" s="11" t="str">
        <f t="shared" si="1"/>
        <v>JJ-005</v>
      </c>
      <c r="E12" s="10">
        <f>COUNTIFS('Raw Data'!$C$2:$C$251,A12)</f>
        <v>1</v>
      </c>
      <c r="F12" s="10">
        <f>SUMIFS('Raw Data'!$H$2:$H$251,'Raw Data'!$C$2:$C$251,A12)</f>
        <v>3</v>
      </c>
      <c r="G12" s="9">
        <f>SUMIFS('Raw Data'!$N$2:$N$251,'Raw Data'!$C$2:$C$251,A12)</f>
        <v>179.97</v>
      </c>
      <c r="H12" s="9">
        <f t="shared" si="2"/>
        <v>179.97</v>
      </c>
      <c r="I12" s="17">
        <f>RANK(G12,$G$8:$G$57)+COUNTIF($G$8:G12,G12)-1</f>
        <v>50</v>
      </c>
      <c r="J12" s="11" t="str">
        <f t="shared" si="3"/>
        <v>Low-Value</v>
      </c>
      <c r="K12" s="10">
        <f>COUNTIFS('Raw Data'!$C$2:$C$251,A12,'Raw Data'!$G$2:$G$251,"Electronics")</f>
        <v>0</v>
      </c>
      <c r="L12" s="10">
        <f>COUNTIFS('Raw Data'!$C$2:$C$251,A12,'Raw Data'!$G$2:$G$251,"Furniture")</f>
        <v>0</v>
      </c>
      <c r="M12" s="17" t="str">
        <f>IF(K12&gt;0,COUNTIF($K$8:K12,"&gt;0"),"")</f>
        <v/>
      </c>
      <c r="N12" s="17" t="str">
        <f>IF(L12&gt;0,COUNTIF($L$8:L12,"&gt;0"),"")</f>
        <v/>
      </c>
    </row>
    <row r="13" spans="1:14" x14ac:dyDescent="0.35">
      <c r="A13" s="11" t="s">
        <v>136</v>
      </c>
      <c r="B13" s="11" t="str">
        <f>INDEX('Raw Data'!$D$2:$D$251,MATCH(A13,'Raw Data'!$C$2:$C$251,0))</f>
        <v>Lisa Anderson</v>
      </c>
      <c r="C13" s="11" t="str">
        <f t="shared" si="0"/>
        <v>LA</v>
      </c>
      <c r="D13" s="11" t="str">
        <f t="shared" si="1"/>
        <v>LA-006</v>
      </c>
      <c r="E13" s="10">
        <f>COUNTIFS('Raw Data'!$C$2:$C$251,A13)</f>
        <v>5</v>
      </c>
      <c r="F13" s="10">
        <f>SUMIFS('Raw Data'!$H$2:$H$251,'Raw Data'!$C$2:$C$251,A13)</f>
        <v>20</v>
      </c>
      <c r="G13" s="9">
        <f>SUMIFS('Raw Data'!$N$2:$N$251,'Raw Data'!$C$2:$C$251,A13)</f>
        <v>2039.8000000000002</v>
      </c>
      <c r="H13" s="9">
        <f t="shared" si="2"/>
        <v>407.96000000000004</v>
      </c>
      <c r="I13" s="17">
        <f>RANK(G13,$G$8:$G$57)+COUNTIF($G$8:G13,G13)-1</f>
        <v>36</v>
      </c>
      <c r="J13" s="11" t="str">
        <f t="shared" si="3"/>
        <v>Low-Value</v>
      </c>
      <c r="K13" s="10">
        <f>COUNTIFS('Raw Data'!$C$2:$C$251,A13,'Raw Data'!$G$2:$G$251,"Electronics")</f>
        <v>2</v>
      </c>
      <c r="L13" s="10">
        <f>COUNTIFS('Raw Data'!$C$2:$C$251,A13,'Raw Data'!$G$2:$G$251,"Furniture")</f>
        <v>1</v>
      </c>
      <c r="M13" s="17">
        <f>IF(K13&gt;0,COUNTIF($K$8:K13,"&gt;0"),"")</f>
        <v>4</v>
      </c>
      <c r="N13" s="17">
        <f>IF(L13&gt;0,COUNTIF($L$8:L13,"&gt;0"),"")</f>
        <v>5</v>
      </c>
    </row>
    <row r="14" spans="1:14" x14ac:dyDescent="0.35">
      <c r="A14" s="11" t="s">
        <v>189</v>
      </c>
      <c r="B14" s="11" t="str">
        <f>INDEX('Raw Data'!$D$2:$D$251,MATCH(A14,'Raw Data'!$C$2:$C$251,0))</f>
        <v>David Martinez</v>
      </c>
      <c r="C14" s="11" t="str">
        <f t="shared" si="0"/>
        <v>DM</v>
      </c>
      <c r="D14" s="11" t="str">
        <f t="shared" si="1"/>
        <v>DM-007</v>
      </c>
      <c r="E14" s="10">
        <f>COUNTIFS('Raw Data'!$C$2:$C$251,A14)</f>
        <v>6</v>
      </c>
      <c r="F14" s="10">
        <f>SUMIFS('Raw Data'!$H$2:$H$251,'Raw Data'!$C$2:$C$251,A14)</f>
        <v>16</v>
      </c>
      <c r="G14" s="9">
        <f>SUMIFS('Raw Data'!$N$2:$N$251,'Raw Data'!$C$2:$C$251,A14)</f>
        <v>1809.84</v>
      </c>
      <c r="H14" s="9">
        <f t="shared" si="2"/>
        <v>301.64</v>
      </c>
      <c r="I14" s="17">
        <f>RANK(G14,$G$8:$G$57)+COUNTIF($G$8:G14,G14)-1</f>
        <v>39</v>
      </c>
      <c r="J14" s="11" t="str">
        <f t="shared" si="3"/>
        <v>Low-Value</v>
      </c>
      <c r="K14" s="10">
        <f>COUNTIFS('Raw Data'!$C$2:$C$251,A14,'Raw Data'!$G$2:$G$251,"Electronics")</f>
        <v>2</v>
      </c>
      <c r="L14" s="10">
        <f>COUNTIFS('Raw Data'!$C$2:$C$251,A14,'Raw Data'!$G$2:$G$251,"Furniture")</f>
        <v>2</v>
      </c>
      <c r="M14" s="17">
        <f>IF(K14&gt;0,COUNTIF($K$8:K14,"&gt;0"),"")</f>
        <v>5</v>
      </c>
      <c r="N14" s="17">
        <f>IF(L14&gt;0,COUNTIF($L$8:L14,"&gt;0"),"")</f>
        <v>6</v>
      </c>
    </row>
    <row r="15" spans="1:14" x14ac:dyDescent="0.35">
      <c r="A15" s="11" t="s">
        <v>148</v>
      </c>
      <c r="B15" s="11" t="str">
        <f>INDEX('Raw Data'!$D$2:$D$251,MATCH(A15,'Raw Data'!$C$2:$C$251,0))</f>
        <v>Jennifer Taylor</v>
      </c>
      <c r="C15" s="11" t="str">
        <f t="shared" si="0"/>
        <v>JT</v>
      </c>
      <c r="D15" s="11" t="str">
        <f t="shared" si="1"/>
        <v>JT-008</v>
      </c>
      <c r="E15" s="10">
        <f>COUNTIFS('Raw Data'!$C$2:$C$251,A15)</f>
        <v>4</v>
      </c>
      <c r="F15" s="10">
        <f>SUMIFS('Raw Data'!$H$2:$H$251,'Raw Data'!$C$2:$C$251,A15)</f>
        <v>15</v>
      </c>
      <c r="G15" s="9">
        <f>SUMIFS('Raw Data'!$N$2:$N$251,'Raw Data'!$C$2:$C$251,A15)</f>
        <v>4739.8500000000004</v>
      </c>
      <c r="H15" s="9">
        <f t="shared" si="2"/>
        <v>1184.9625000000001</v>
      </c>
      <c r="I15" s="17">
        <f>RANK(G15,$G$8:$G$57)+COUNTIF($G$8:G15,G15)-1</f>
        <v>24</v>
      </c>
      <c r="J15" s="11" t="str">
        <f t="shared" si="3"/>
        <v>Mid-Value</v>
      </c>
      <c r="K15" s="10">
        <f>COUNTIFS('Raw Data'!$C$2:$C$251,A15,'Raw Data'!$G$2:$G$251,"Electronics")</f>
        <v>1</v>
      </c>
      <c r="L15" s="10">
        <f>COUNTIFS('Raw Data'!$C$2:$C$251,A15,'Raw Data'!$G$2:$G$251,"Furniture")</f>
        <v>1</v>
      </c>
      <c r="M15" s="17">
        <f>IF(K15&gt;0,COUNTIF($K$8:K15,"&gt;0"),"")</f>
        <v>6</v>
      </c>
      <c r="N15" s="17">
        <f>IF(L15&gt;0,COUNTIF($L$8:L15,"&gt;0"),"")</f>
        <v>7</v>
      </c>
    </row>
    <row r="16" spans="1:14" x14ac:dyDescent="0.35">
      <c r="A16" s="11" t="s">
        <v>66</v>
      </c>
      <c r="B16" s="11" t="str">
        <f>INDEX('Raw Data'!$D$2:$D$251,MATCH(A16,'Raw Data'!$C$2:$C$251,0))</f>
        <v>Robert Thomas</v>
      </c>
      <c r="C16" s="11" t="str">
        <f t="shared" si="0"/>
        <v>RT</v>
      </c>
      <c r="D16" s="11" t="str">
        <f t="shared" si="1"/>
        <v>RT-009</v>
      </c>
      <c r="E16" s="10">
        <f>COUNTIFS('Raw Data'!$C$2:$C$251,A16)</f>
        <v>5</v>
      </c>
      <c r="F16" s="10">
        <f>SUMIFS('Raw Data'!$H$2:$H$251,'Raw Data'!$C$2:$C$251,A16)</f>
        <v>10</v>
      </c>
      <c r="G16" s="9">
        <f>SUMIFS('Raw Data'!$N$2:$N$251,'Raw Data'!$C$2:$C$251,A16)</f>
        <v>3509.8999999999996</v>
      </c>
      <c r="H16" s="9">
        <f t="shared" si="2"/>
        <v>701.9799999999999</v>
      </c>
      <c r="I16" s="17">
        <f>RANK(G16,$G$8:$G$57)+COUNTIF($G$8:G16,G16)-1</f>
        <v>32</v>
      </c>
      <c r="J16" s="11" t="str">
        <f t="shared" si="3"/>
        <v>Low-Value</v>
      </c>
      <c r="K16" s="10">
        <f>COUNTIFS('Raw Data'!$C$2:$C$251,A16,'Raw Data'!$G$2:$G$251,"Electronics")</f>
        <v>4</v>
      </c>
      <c r="L16" s="10">
        <f>COUNTIFS('Raw Data'!$C$2:$C$251,A16,'Raw Data'!$G$2:$G$251,"Furniture")</f>
        <v>1</v>
      </c>
      <c r="M16" s="17">
        <f>IF(K16&gt;0,COUNTIF($K$8:K16,"&gt;0"),"")</f>
        <v>7</v>
      </c>
      <c r="N16" s="17">
        <f>IF(L16&gt;0,COUNTIF($L$8:L16,"&gt;0"),"")</f>
        <v>8</v>
      </c>
    </row>
    <row r="17" spans="1:14" x14ac:dyDescent="0.35">
      <c r="A17" s="11" t="s">
        <v>97</v>
      </c>
      <c r="B17" s="11" t="str">
        <f>INDEX('Raw Data'!$D$2:$D$251,MATCH(A17,'Raw Data'!$C$2:$C$251,0))</f>
        <v>Maria Garcia</v>
      </c>
      <c r="C17" s="11" t="str">
        <f t="shared" si="0"/>
        <v>MG</v>
      </c>
      <c r="D17" s="11" t="str">
        <f t="shared" si="1"/>
        <v>MG-010</v>
      </c>
      <c r="E17" s="10">
        <f>COUNTIFS('Raw Data'!$C$2:$C$251,A17)</f>
        <v>4</v>
      </c>
      <c r="F17" s="10">
        <f>SUMIFS('Raw Data'!$H$2:$H$251,'Raw Data'!$C$2:$C$251,A17)</f>
        <v>7</v>
      </c>
      <c r="G17" s="9">
        <f>SUMIFS('Raw Data'!$N$2:$N$251,'Raw Data'!$C$2:$C$251,A17)</f>
        <v>1909.93</v>
      </c>
      <c r="H17" s="9">
        <f t="shared" si="2"/>
        <v>477.48250000000002</v>
      </c>
      <c r="I17" s="17">
        <f>RANK(G17,$G$8:$G$57)+COUNTIF($G$8:G17,G17)-1</f>
        <v>38</v>
      </c>
      <c r="J17" s="11" t="str">
        <f t="shared" si="3"/>
        <v>Low-Value</v>
      </c>
      <c r="K17" s="10">
        <f>COUNTIFS('Raw Data'!$C$2:$C$251,A17,'Raw Data'!$G$2:$G$251,"Electronics")</f>
        <v>2</v>
      </c>
      <c r="L17" s="10">
        <f>COUNTIFS('Raw Data'!$C$2:$C$251,A17,'Raw Data'!$G$2:$G$251,"Furniture")</f>
        <v>1</v>
      </c>
      <c r="M17" s="17">
        <f>IF(K17&gt;0,COUNTIF($K$8:K17,"&gt;0"),"")</f>
        <v>8</v>
      </c>
      <c r="N17" s="17">
        <f>IF(L17&gt;0,COUNTIF($L$8:L17,"&gt;0"),"")</f>
        <v>9</v>
      </c>
    </row>
    <row r="18" spans="1:14" x14ac:dyDescent="0.35">
      <c r="A18" s="11" t="s">
        <v>259</v>
      </c>
      <c r="B18" s="11" t="str">
        <f>INDEX('Raw Data'!$D$2:$D$251,MATCH(A18,'Raw Data'!$C$2:$C$251,0))</f>
        <v>William White</v>
      </c>
      <c r="C18" s="11" t="str">
        <f t="shared" si="0"/>
        <v>WW</v>
      </c>
      <c r="D18" s="11" t="str">
        <f t="shared" si="1"/>
        <v>WW-011</v>
      </c>
      <c r="E18" s="10">
        <f>COUNTIFS('Raw Data'!$C$2:$C$251,A18)</f>
        <v>3</v>
      </c>
      <c r="F18" s="10">
        <f>SUMIFS('Raw Data'!$H$2:$H$251,'Raw Data'!$C$2:$C$251,A18)</f>
        <v>9</v>
      </c>
      <c r="G18" s="9">
        <f>SUMIFS('Raw Data'!$N$2:$N$251,'Raw Data'!$C$2:$C$251,A18)</f>
        <v>4749.91</v>
      </c>
      <c r="H18" s="9">
        <f t="shared" si="2"/>
        <v>1583.3033333333333</v>
      </c>
      <c r="I18" s="17">
        <f>RANK(G18,$G$8:$G$57)+COUNTIF($G$8:G18,G18)-1</f>
        <v>23</v>
      </c>
      <c r="J18" s="11" t="str">
        <f t="shared" si="3"/>
        <v>Mid-Value</v>
      </c>
      <c r="K18" s="10">
        <f>COUNTIFS('Raw Data'!$C$2:$C$251,A18,'Raw Data'!$G$2:$G$251,"Electronics")</f>
        <v>3</v>
      </c>
      <c r="L18" s="10">
        <f>COUNTIFS('Raw Data'!$C$2:$C$251,A18,'Raw Data'!$G$2:$G$251,"Furniture")</f>
        <v>0</v>
      </c>
      <c r="M18" s="17">
        <f>IF(K18&gt;0,COUNTIF($K$8:K18,"&gt;0"),"")</f>
        <v>9</v>
      </c>
      <c r="N18" s="17" t="str">
        <f>IF(L18&gt;0,COUNTIF($L$8:L18,"&gt;0"),"")</f>
        <v/>
      </c>
    </row>
    <row r="19" spans="1:14" x14ac:dyDescent="0.35">
      <c r="A19" s="11" t="s">
        <v>106</v>
      </c>
      <c r="B19" s="11" t="str">
        <f>INDEX('Raw Data'!$D$2:$D$251,MATCH(A19,'Raw Data'!$C$2:$C$251,0))</f>
        <v>Patricia Moore</v>
      </c>
      <c r="C19" s="11" t="str">
        <f t="shared" si="0"/>
        <v>PM</v>
      </c>
      <c r="D19" s="11" t="str">
        <f t="shared" si="1"/>
        <v>PM-012</v>
      </c>
      <c r="E19" s="10">
        <f>COUNTIFS('Raw Data'!$C$2:$C$251,A19)</f>
        <v>8</v>
      </c>
      <c r="F19" s="10">
        <f>SUMIFS('Raw Data'!$H$2:$H$251,'Raw Data'!$C$2:$C$251,A19)</f>
        <v>27</v>
      </c>
      <c r="G19" s="9">
        <f>SUMIFS('Raw Data'!$N$2:$N$251,'Raw Data'!$C$2:$C$251,A19)</f>
        <v>9799.73</v>
      </c>
      <c r="H19" s="9">
        <f t="shared" si="2"/>
        <v>1224.9662499999999</v>
      </c>
      <c r="I19" s="17">
        <f>RANK(G19,$G$8:$G$57)+COUNTIF($G$8:G19,G19)-1</f>
        <v>4</v>
      </c>
      <c r="J19" s="11" t="str">
        <f t="shared" si="3"/>
        <v>High-Value</v>
      </c>
      <c r="K19" s="10">
        <f>COUNTIFS('Raw Data'!$C$2:$C$251,A19,'Raw Data'!$G$2:$G$251,"Electronics")</f>
        <v>6</v>
      </c>
      <c r="L19" s="10">
        <f>COUNTIFS('Raw Data'!$C$2:$C$251,A19,'Raw Data'!$G$2:$G$251,"Furniture")</f>
        <v>2</v>
      </c>
      <c r="M19" s="17">
        <f>IF(K19&gt;0,COUNTIF($K$8:K19,"&gt;0"),"")</f>
        <v>10</v>
      </c>
      <c r="N19" s="17">
        <f>IF(L19&gt;0,COUNTIF($L$8:L19,"&gt;0"),"")</f>
        <v>10</v>
      </c>
    </row>
    <row r="20" spans="1:14" x14ac:dyDescent="0.35">
      <c r="A20" s="11" t="s">
        <v>31</v>
      </c>
      <c r="B20" s="11" t="str">
        <f>INDEX('Raw Data'!$D$2:$D$251,MATCH(A20,'Raw Data'!$C$2:$C$251,0))</f>
        <v>Joseph Jackson</v>
      </c>
      <c r="C20" s="11" t="str">
        <f t="shared" si="0"/>
        <v>JJ</v>
      </c>
      <c r="D20" s="11" t="str">
        <f t="shared" si="1"/>
        <v>JJ-013</v>
      </c>
      <c r="E20" s="10">
        <f>COUNTIFS('Raw Data'!$C$2:$C$251,A20)</f>
        <v>5</v>
      </c>
      <c r="F20" s="10">
        <f>SUMIFS('Raw Data'!$H$2:$H$251,'Raw Data'!$C$2:$C$251,A20)</f>
        <v>16</v>
      </c>
      <c r="G20" s="9">
        <f>SUMIFS('Raw Data'!$N$2:$N$251,'Raw Data'!$C$2:$C$251,A20)</f>
        <v>6949.84</v>
      </c>
      <c r="H20" s="9">
        <f t="shared" si="2"/>
        <v>1389.9680000000001</v>
      </c>
      <c r="I20" s="17">
        <f>RANK(G20,$G$8:$G$57)+COUNTIF($G$8:G20,G20)-1</f>
        <v>10</v>
      </c>
      <c r="J20" s="11" t="str">
        <f t="shared" si="3"/>
        <v>High-Value</v>
      </c>
      <c r="K20" s="10">
        <f>COUNTIFS('Raw Data'!$C$2:$C$251,A20,'Raw Data'!$G$2:$G$251,"Electronics")</f>
        <v>5</v>
      </c>
      <c r="L20" s="10">
        <f>COUNTIFS('Raw Data'!$C$2:$C$251,A20,'Raw Data'!$G$2:$G$251,"Furniture")</f>
        <v>0</v>
      </c>
      <c r="M20" s="17">
        <f>IF(K20&gt;0,COUNTIF($K$8:K20,"&gt;0"),"")</f>
        <v>11</v>
      </c>
      <c r="N20" s="17" t="str">
        <f>IF(L20&gt;0,COUNTIF($L$8:L20,"&gt;0"),"")</f>
        <v/>
      </c>
    </row>
    <row r="21" spans="1:14" x14ac:dyDescent="0.35">
      <c r="A21" s="11" t="s">
        <v>122</v>
      </c>
      <c r="B21" s="11" t="str">
        <f>INDEX('Raw Data'!$D$2:$D$251,MATCH(A21,'Raw Data'!$C$2:$C$251,0))</f>
        <v>Linda Martin</v>
      </c>
      <c r="C21" s="11" t="str">
        <f t="shared" si="0"/>
        <v>LM</v>
      </c>
      <c r="D21" s="11" t="str">
        <f t="shared" si="1"/>
        <v>LM-014</v>
      </c>
      <c r="E21" s="10">
        <f>COUNTIFS('Raw Data'!$C$2:$C$251,A21)</f>
        <v>4</v>
      </c>
      <c r="F21" s="10">
        <f>SUMIFS('Raw Data'!$H$2:$H$251,'Raw Data'!$C$2:$C$251,A21)</f>
        <v>10</v>
      </c>
      <c r="G21" s="9">
        <f>SUMIFS('Raw Data'!$N$2:$N$251,'Raw Data'!$C$2:$C$251,A21)</f>
        <v>1289.9000000000001</v>
      </c>
      <c r="H21" s="9">
        <f t="shared" si="2"/>
        <v>322.47500000000002</v>
      </c>
      <c r="I21" s="17">
        <f>RANK(G21,$G$8:$G$57)+COUNTIF($G$8:G21,G21)-1</f>
        <v>43</v>
      </c>
      <c r="J21" s="11" t="str">
        <f t="shared" si="3"/>
        <v>Low-Value</v>
      </c>
      <c r="K21" s="10">
        <f>COUNTIFS('Raw Data'!$C$2:$C$251,A21,'Raw Data'!$G$2:$G$251,"Electronics")</f>
        <v>1</v>
      </c>
      <c r="L21" s="10">
        <f>COUNTIFS('Raw Data'!$C$2:$C$251,A21,'Raw Data'!$G$2:$G$251,"Furniture")</f>
        <v>2</v>
      </c>
      <c r="M21" s="17">
        <f>IF(K21&gt;0,COUNTIF($K$8:K21,"&gt;0"),"")</f>
        <v>12</v>
      </c>
      <c r="N21" s="17">
        <f>IF(L21&gt;0,COUNTIF($L$8:L21,"&gt;0"),"")</f>
        <v>11</v>
      </c>
    </row>
    <row r="22" spans="1:14" x14ac:dyDescent="0.35">
      <c r="A22" s="11" t="s">
        <v>266</v>
      </c>
      <c r="B22" s="11" t="str">
        <f>INDEX('Raw Data'!$D$2:$D$251,MATCH(A22,'Raw Data'!$C$2:$C$251,0))</f>
        <v>Richard Lee</v>
      </c>
      <c r="C22" s="11" t="str">
        <f t="shared" si="0"/>
        <v>RL</v>
      </c>
      <c r="D22" s="11" t="str">
        <f t="shared" si="1"/>
        <v>RL-015</v>
      </c>
      <c r="E22" s="10">
        <f>COUNTIFS('Raw Data'!$C$2:$C$251,A22)</f>
        <v>3</v>
      </c>
      <c r="F22" s="10">
        <f>SUMIFS('Raw Data'!$H$2:$H$251,'Raw Data'!$C$2:$C$251,A22)</f>
        <v>7</v>
      </c>
      <c r="G22" s="9">
        <f>SUMIFS('Raw Data'!$N$2:$N$251,'Raw Data'!$C$2:$C$251,A22)</f>
        <v>739.93000000000006</v>
      </c>
      <c r="H22" s="9">
        <f t="shared" si="2"/>
        <v>246.64333333333335</v>
      </c>
      <c r="I22" s="17">
        <f>RANK(G22,$G$8:$G$57)+COUNTIF($G$8:G22,G22)-1</f>
        <v>46</v>
      </c>
      <c r="J22" s="11" t="str">
        <f t="shared" si="3"/>
        <v>Low-Value</v>
      </c>
      <c r="K22" s="10">
        <f>COUNTIFS('Raw Data'!$C$2:$C$251,A22,'Raw Data'!$G$2:$G$251,"Electronics")</f>
        <v>0</v>
      </c>
      <c r="L22" s="10">
        <f>COUNTIFS('Raw Data'!$C$2:$C$251,A22,'Raw Data'!$G$2:$G$251,"Furniture")</f>
        <v>2</v>
      </c>
      <c r="M22" s="17" t="str">
        <f>IF(K22&gt;0,COUNTIF($K$8:K22,"&gt;0"),"")</f>
        <v/>
      </c>
      <c r="N22" s="17">
        <f>IF(L22&gt;0,COUNTIF($L$8:L22,"&gt;0"),"")</f>
        <v>12</v>
      </c>
    </row>
    <row r="23" spans="1:14" x14ac:dyDescent="0.35">
      <c r="A23" s="11" t="s">
        <v>218</v>
      </c>
      <c r="B23" s="11" t="str">
        <f>INDEX('Raw Data'!$D$2:$D$251,MATCH(A23,'Raw Data'!$C$2:$C$251,0))</f>
        <v>Elizabeth Hall</v>
      </c>
      <c r="C23" s="11" t="str">
        <f t="shared" si="0"/>
        <v>EH</v>
      </c>
      <c r="D23" s="11" t="str">
        <f t="shared" si="1"/>
        <v>EH-016</v>
      </c>
      <c r="E23" s="10">
        <f>COUNTIFS('Raw Data'!$C$2:$C$251,A23)</f>
        <v>4</v>
      </c>
      <c r="F23" s="10">
        <f>SUMIFS('Raw Data'!$H$2:$H$251,'Raw Data'!$C$2:$C$251,A23)</f>
        <v>14</v>
      </c>
      <c r="G23" s="9">
        <f>SUMIFS('Raw Data'!$N$2:$N$251,'Raw Data'!$C$2:$C$251,A23)</f>
        <v>3649.8599999999997</v>
      </c>
      <c r="H23" s="9">
        <f t="shared" si="2"/>
        <v>912.46499999999992</v>
      </c>
      <c r="I23" s="17">
        <f>RANK(G23,$G$8:$G$57)+COUNTIF($G$8:G23,G23)-1</f>
        <v>31</v>
      </c>
      <c r="J23" s="11" t="str">
        <f t="shared" si="3"/>
        <v>Low-Value</v>
      </c>
      <c r="K23" s="10">
        <f>COUNTIFS('Raw Data'!$C$2:$C$251,A23,'Raw Data'!$G$2:$G$251,"Electronics")</f>
        <v>2</v>
      </c>
      <c r="L23" s="10">
        <f>COUNTIFS('Raw Data'!$C$2:$C$251,A23,'Raw Data'!$G$2:$G$251,"Furniture")</f>
        <v>2</v>
      </c>
      <c r="M23" s="17">
        <f>IF(K23&gt;0,COUNTIF($K$8:K23,"&gt;0"),"")</f>
        <v>13</v>
      </c>
      <c r="N23" s="17">
        <f>IF(L23&gt;0,COUNTIF($L$8:L23,"&gt;0"),"")</f>
        <v>13</v>
      </c>
    </row>
    <row r="24" spans="1:14" x14ac:dyDescent="0.35">
      <c r="A24" s="11" t="s">
        <v>62</v>
      </c>
      <c r="B24" s="11" t="str">
        <f>INDEX('Raw Data'!$D$2:$D$251,MATCH(A24,'Raw Data'!$C$2:$C$251,0))</f>
        <v>Charles Allen</v>
      </c>
      <c r="C24" s="11" t="str">
        <f t="shared" si="0"/>
        <v>CA</v>
      </c>
      <c r="D24" s="11" t="str">
        <f t="shared" si="1"/>
        <v>CA-017</v>
      </c>
      <c r="E24" s="10">
        <f>COUNTIFS('Raw Data'!$C$2:$C$251,A24)</f>
        <v>9</v>
      </c>
      <c r="F24" s="10">
        <f>SUMIFS('Raw Data'!$H$2:$H$251,'Raw Data'!$C$2:$C$251,A24)</f>
        <v>27</v>
      </c>
      <c r="G24" s="9">
        <f>SUMIFS('Raw Data'!$N$2:$N$251,'Raw Data'!$C$2:$C$251,A24)</f>
        <v>5089.7300000000005</v>
      </c>
      <c r="H24" s="9">
        <f t="shared" si="2"/>
        <v>565.52555555555557</v>
      </c>
      <c r="I24" s="17">
        <f>RANK(G24,$G$8:$G$57)+COUNTIF($G$8:G24,G24)-1</f>
        <v>20</v>
      </c>
      <c r="J24" s="11" t="str">
        <f t="shared" si="3"/>
        <v>Mid-Value</v>
      </c>
      <c r="K24" s="10">
        <f>COUNTIFS('Raw Data'!$C$2:$C$251,A24,'Raw Data'!$G$2:$G$251,"Electronics")</f>
        <v>3</v>
      </c>
      <c r="L24" s="10">
        <f>COUNTIFS('Raw Data'!$C$2:$C$251,A24,'Raw Data'!$G$2:$G$251,"Furniture")</f>
        <v>4</v>
      </c>
      <c r="M24" s="17">
        <f>IF(K24&gt;0,COUNTIF($K$8:K24,"&gt;0"),"")</f>
        <v>14</v>
      </c>
      <c r="N24" s="17">
        <f>IF(L24&gt;0,COUNTIF($L$8:L24,"&gt;0"),"")</f>
        <v>14</v>
      </c>
    </row>
    <row r="25" spans="1:14" x14ac:dyDescent="0.35">
      <c r="A25" s="11" t="s">
        <v>103</v>
      </c>
      <c r="B25" s="11" t="str">
        <f>INDEX('Raw Data'!$D$2:$D$251,MATCH(A25,'Raw Data'!$C$2:$C$251,0))</f>
        <v>Barbara Young</v>
      </c>
      <c r="C25" s="11" t="str">
        <f t="shared" si="0"/>
        <v>BY</v>
      </c>
      <c r="D25" s="11" t="str">
        <f t="shared" si="1"/>
        <v>BY-018</v>
      </c>
      <c r="E25" s="10">
        <f>COUNTIFS('Raw Data'!$C$2:$C$251,A25)</f>
        <v>5</v>
      </c>
      <c r="F25" s="10">
        <f>SUMIFS('Raw Data'!$H$2:$H$251,'Raw Data'!$C$2:$C$251,A25)</f>
        <v>20</v>
      </c>
      <c r="G25" s="9">
        <f>SUMIFS('Raw Data'!$N$2:$N$251,'Raw Data'!$C$2:$C$251,A25)</f>
        <v>10649.8</v>
      </c>
      <c r="H25" s="9">
        <f t="shared" si="2"/>
        <v>2129.96</v>
      </c>
      <c r="I25" s="17">
        <f>RANK(G25,$G$8:$G$57)+COUNTIF($G$8:G25,G25)-1</f>
        <v>3</v>
      </c>
      <c r="J25" s="11" t="str">
        <f t="shared" si="3"/>
        <v>High-Value</v>
      </c>
      <c r="K25" s="10">
        <f>COUNTIFS('Raw Data'!$C$2:$C$251,A25,'Raw Data'!$G$2:$G$251,"Electronics")</f>
        <v>5</v>
      </c>
      <c r="L25" s="10">
        <f>COUNTIFS('Raw Data'!$C$2:$C$251,A25,'Raw Data'!$G$2:$G$251,"Furniture")</f>
        <v>0</v>
      </c>
      <c r="M25" s="17">
        <f>IF(K25&gt;0,COUNTIF($K$8:K25,"&gt;0"),"")</f>
        <v>15</v>
      </c>
      <c r="N25" s="17" t="str">
        <f>IF(L25&gt;0,COUNTIF($L$8:L25,"&gt;0"),"")</f>
        <v/>
      </c>
    </row>
    <row r="26" spans="1:14" x14ac:dyDescent="0.35">
      <c r="A26" s="11" t="s">
        <v>154</v>
      </c>
      <c r="B26" s="11" t="str">
        <f>INDEX('Raw Data'!$D$2:$D$251,MATCH(A26,'Raw Data'!$C$2:$C$251,0))</f>
        <v>Daniel King</v>
      </c>
      <c r="C26" s="11" t="str">
        <f t="shared" si="0"/>
        <v>DK</v>
      </c>
      <c r="D26" s="11" t="str">
        <f t="shared" si="1"/>
        <v>DK-019</v>
      </c>
      <c r="E26" s="10">
        <f>COUNTIFS('Raw Data'!$C$2:$C$251,A26)</f>
        <v>7</v>
      </c>
      <c r="F26" s="10">
        <f>SUMIFS('Raw Data'!$H$2:$H$251,'Raw Data'!$C$2:$C$251,A26)</f>
        <v>20</v>
      </c>
      <c r="G26" s="9">
        <f>SUMIFS('Raw Data'!$N$2:$N$251,'Raw Data'!$C$2:$C$251,A26)</f>
        <v>7309.7999999999993</v>
      </c>
      <c r="H26" s="9">
        <f t="shared" si="2"/>
        <v>1044.2571428571428</v>
      </c>
      <c r="I26" s="17">
        <f>RANK(G26,$G$8:$G$57)+COUNTIF($G$8:G26,G26)-1</f>
        <v>8</v>
      </c>
      <c r="J26" s="11" t="str">
        <f t="shared" si="3"/>
        <v>High-Value</v>
      </c>
      <c r="K26" s="10">
        <f>COUNTIFS('Raw Data'!$C$2:$C$251,A26,'Raw Data'!$G$2:$G$251,"Electronics")</f>
        <v>3</v>
      </c>
      <c r="L26" s="10">
        <f>COUNTIFS('Raw Data'!$C$2:$C$251,A26,'Raw Data'!$G$2:$G$251,"Furniture")</f>
        <v>3</v>
      </c>
      <c r="M26" s="17">
        <f>IF(K26&gt;0,COUNTIF($K$8:K26,"&gt;0"),"")</f>
        <v>16</v>
      </c>
      <c r="N26" s="17">
        <f>IF(L26&gt;0,COUNTIF($L$8:L26,"&gt;0"),"")</f>
        <v>15</v>
      </c>
    </row>
    <row r="27" spans="1:14" x14ac:dyDescent="0.35">
      <c r="A27" s="11" t="s">
        <v>192</v>
      </c>
      <c r="B27" s="11" t="str">
        <f>INDEX('Raw Data'!$D$2:$D$251,MATCH(A27,'Raw Data'!$C$2:$C$251,0))</f>
        <v>Margaret Wright</v>
      </c>
      <c r="C27" s="11" t="str">
        <f t="shared" si="0"/>
        <v>MW</v>
      </c>
      <c r="D27" s="11" t="str">
        <f t="shared" si="1"/>
        <v>MW-020</v>
      </c>
      <c r="E27" s="10">
        <f>COUNTIFS('Raw Data'!$C$2:$C$251,A27)</f>
        <v>4</v>
      </c>
      <c r="F27" s="10">
        <f>SUMIFS('Raw Data'!$H$2:$H$251,'Raw Data'!$C$2:$C$251,A27)</f>
        <v>12</v>
      </c>
      <c r="G27" s="9">
        <f>SUMIFS('Raw Data'!$N$2:$N$251,'Raw Data'!$C$2:$C$251,A27)</f>
        <v>2099.88</v>
      </c>
      <c r="H27" s="9">
        <f t="shared" si="2"/>
        <v>524.97</v>
      </c>
      <c r="I27" s="17">
        <f>RANK(G27,$G$8:$G$57)+COUNTIF($G$8:G27,G27)-1</f>
        <v>35</v>
      </c>
      <c r="J27" s="11" t="str">
        <f t="shared" si="3"/>
        <v>Low-Value</v>
      </c>
      <c r="K27" s="10">
        <f>COUNTIFS('Raw Data'!$C$2:$C$251,A27,'Raw Data'!$G$2:$G$251,"Electronics")</f>
        <v>3</v>
      </c>
      <c r="L27" s="10">
        <f>COUNTIFS('Raw Data'!$C$2:$C$251,A27,'Raw Data'!$G$2:$G$251,"Furniture")</f>
        <v>1</v>
      </c>
      <c r="M27" s="17">
        <f>IF(K27&gt;0,COUNTIF($K$8:K27,"&gt;0"),"")</f>
        <v>17</v>
      </c>
      <c r="N27" s="17">
        <f>IF(L27&gt;0,COUNTIF($L$8:L27,"&gt;0"),"")</f>
        <v>16</v>
      </c>
    </row>
    <row r="28" spans="1:14" x14ac:dyDescent="0.35">
      <c r="A28" s="11" t="s">
        <v>36</v>
      </c>
      <c r="B28" s="11" t="str">
        <f>INDEX('Raw Data'!$D$2:$D$251,MATCH(A28,'Raw Data'!$C$2:$C$251,0))</f>
        <v>Kevin Scott</v>
      </c>
      <c r="C28" s="11" t="str">
        <f t="shared" si="0"/>
        <v>KS</v>
      </c>
      <c r="D28" s="11" t="str">
        <f t="shared" si="1"/>
        <v>KS-021</v>
      </c>
      <c r="E28" s="10">
        <f>COUNTIFS('Raw Data'!$C$2:$C$251,A28)</f>
        <v>6</v>
      </c>
      <c r="F28" s="10">
        <f>SUMIFS('Raw Data'!$H$2:$H$251,'Raw Data'!$C$2:$C$251,A28)</f>
        <v>13</v>
      </c>
      <c r="G28" s="9">
        <f>SUMIFS('Raw Data'!$N$2:$N$251,'Raw Data'!$C$2:$C$251,A28)</f>
        <v>3259.87</v>
      </c>
      <c r="H28" s="9">
        <f t="shared" si="2"/>
        <v>543.31166666666661</v>
      </c>
      <c r="I28" s="17">
        <f>RANK(G28,$G$8:$G$57)+COUNTIF($G$8:G28,G28)-1</f>
        <v>33</v>
      </c>
      <c r="J28" s="11" t="str">
        <f t="shared" si="3"/>
        <v>Low-Value</v>
      </c>
      <c r="K28" s="10">
        <f>COUNTIFS('Raw Data'!$C$2:$C$251,A28,'Raw Data'!$G$2:$G$251,"Electronics")</f>
        <v>1</v>
      </c>
      <c r="L28" s="10">
        <f>COUNTIFS('Raw Data'!$C$2:$C$251,A28,'Raw Data'!$G$2:$G$251,"Furniture")</f>
        <v>3</v>
      </c>
      <c r="M28" s="17">
        <f>IF(K28&gt;0,COUNTIF($K$8:K28,"&gt;0"),"")</f>
        <v>18</v>
      </c>
      <c r="N28" s="17">
        <f>IF(L28&gt;0,COUNTIF($L$8:L28,"&gt;0"),"")</f>
        <v>17</v>
      </c>
    </row>
    <row r="29" spans="1:14" x14ac:dyDescent="0.35">
      <c r="A29" s="11" t="s">
        <v>72</v>
      </c>
      <c r="B29" s="11" t="str">
        <f>INDEX('Raw Data'!$D$2:$D$251,MATCH(A29,'Raw Data'!$C$2:$C$251,0))</f>
        <v>Susan Green</v>
      </c>
      <c r="C29" s="11" t="str">
        <f t="shared" si="0"/>
        <v>SG</v>
      </c>
      <c r="D29" s="11" t="str">
        <f t="shared" si="1"/>
        <v>SG-022</v>
      </c>
      <c r="E29" s="10">
        <f>COUNTIFS('Raw Data'!$C$2:$C$251,A29)</f>
        <v>4</v>
      </c>
      <c r="F29" s="10">
        <f>SUMIFS('Raw Data'!$H$2:$H$251,'Raw Data'!$C$2:$C$251,A29)</f>
        <v>11</v>
      </c>
      <c r="G29" s="9">
        <f>SUMIFS('Raw Data'!$N$2:$N$251,'Raw Data'!$C$2:$C$251,A29)</f>
        <v>1979.89</v>
      </c>
      <c r="H29" s="9">
        <f t="shared" si="2"/>
        <v>494.97250000000003</v>
      </c>
      <c r="I29" s="17">
        <f>RANK(G29,$G$8:$G$57)+COUNTIF($G$8:G29,G29)-1</f>
        <v>37</v>
      </c>
      <c r="J29" s="11" t="str">
        <f t="shared" si="3"/>
        <v>Low-Value</v>
      </c>
      <c r="K29" s="10">
        <f>COUNTIFS('Raw Data'!$C$2:$C$251,A29,'Raw Data'!$G$2:$G$251,"Electronics")</f>
        <v>1</v>
      </c>
      <c r="L29" s="10">
        <f>COUNTIFS('Raw Data'!$C$2:$C$251,A29,'Raw Data'!$G$2:$G$251,"Furniture")</f>
        <v>2</v>
      </c>
      <c r="M29" s="17">
        <f>IF(K29&gt;0,COUNTIF($K$8:K29,"&gt;0"),"")</f>
        <v>19</v>
      </c>
      <c r="N29" s="17">
        <f>IF(L29&gt;0,COUNTIF($L$8:L29,"&gt;0"),"")</f>
        <v>18</v>
      </c>
    </row>
    <row r="30" spans="1:14" x14ac:dyDescent="0.35">
      <c r="A30" s="11" t="s">
        <v>22</v>
      </c>
      <c r="B30" s="11" t="str">
        <f>INDEX('Raw Data'!$D$2:$D$251,MATCH(A30,'Raw Data'!$C$2:$C$251,0))</f>
        <v>Paul Baker</v>
      </c>
      <c r="C30" s="11" t="str">
        <f t="shared" si="0"/>
        <v>PB</v>
      </c>
      <c r="D30" s="11" t="str">
        <f t="shared" si="1"/>
        <v>PB-023</v>
      </c>
      <c r="E30" s="10">
        <f>COUNTIFS('Raw Data'!$C$2:$C$251,A30)</f>
        <v>8</v>
      </c>
      <c r="F30" s="10">
        <f>SUMIFS('Raw Data'!$H$2:$H$251,'Raw Data'!$C$2:$C$251,A30)</f>
        <v>26</v>
      </c>
      <c r="G30" s="9">
        <f>SUMIFS('Raw Data'!$N$2:$N$251,'Raw Data'!$C$2:$C$251,A30)</f>
        <v>8309.739999999998</v>
      </c>
      <c r="H30" s="9">
        <f t="shared" si="2"/>
        <v>1038.7174999999997</v>
      </c>
      <c r="I30" s="17">
        <f>RANK(G30,$G$8:$G$57)+COUNTIF($G$8:G30,G30)-1</f>
        <v>5</v>
      </c>
      <c r="J30" s="11" t="str">
        <f t="shared" si="3"/>
        <v>High-Value</v>
      </c>
      <c r="K30" s="10">
        <f>COUNTIFS('Raw Data'!$C$2:$C$251,A30,'Raw Data'!$G$2:$G$251,"Electronics")</f>
        <v>6</v>
      </c>
      <c r="L30" s="10">
        <f>COUNTIFS('Raw Data'!$C$2:$C$251,A30,'Raw Data'!$G$2:$G$251,"Furniture")</f>
        <v>1</v>
      </c>
      <c r="M30" s="17">
        <f>IF(K30&gt;0,COUNTIF($K$8:K30,"&gt;0"),"")</f>
        <v>20</v>
      </c>
      <c r="N30" s="17">
        <f>IF(L30&gt;0,COUNTIF($L$8:L30,"&gt;0"),"")</f>
        <v>19</v>
      </c>
    </row>
    <row r="31" spans="1:14" x14ac:dyDescent="0.35">
      <c r="A31" s="11" t="s">
        <v>55</v>
      </c>
      <c r="B31" s="11" t="str">
        <f>INDEX('Raw Data'!$D$2:$D$251,MATCH(A31,'Raw Data'!$C$2:$C$251,0))</f>
        <v>Dorothy Nelson</v>
      </c>
      <c r="C31" s="11" t="str">
        <f t="shared" si="0"/>
        <v>DN</v>
      </c>
      <c r="D31" s="11" t="str">
        <f t="shared" si="1"/>
        <v>DN-024</v>
      </c>
      <c r="E31" s="10">
        <f>COUNTIFS('Raw Data'!$C$2:$C$251,A31)</f>
        <v>6</v>
      </c>
      <c r="F31" s="10">
        <f>SUMIFS('Raw Data'!$H$2:$H$251,'Raw Data'!$C$2:$C$251,A31)</f>
        <v>21</v>
      </c>
      <c r="G31" s="9">
        <f>SUMIFS('Raw Data'!$N$2:$N$251,'Raw Data'!$C$2:$C$251,A31)</f>
        <v>8269.7900000000009</v>
      </c>
      <c r="H31" s="9">
        <f t="shared" si="2"/>
        <v>1378.2983333333334</v>
      </c>
      <c r="I31" s="17">
        <f>RANK(G31,$G$8:$G$57)+COUNTIF($G$8:G31,G31)-1</f>
        <v>6</v>
      </c>
      <c r="J31" s="11" t="str">
        <f t="shared" si="3"/>
        <v>High-Value</v>
      </c>
      <c r="K31" s="10">
        <f>COUNTIFS('Raw Data'!$C$2:$C$251,A31,'Raw Data'!$G$2:$G$251,"Electronics")</f>
        <v>4</v>
      </c>
      <c r="L31" s="10">
        <f>COUNTIFS('Raw Data'!$C$2:$C$251,A31,'Raw Data'!$G$2:$G$251,"Furniture")</f>
        <v>1</v>
      </c>
      <c r="M31" s="17">
        <f>IF(K31&gt;0,COUNTIF($K$8:K31,"&gt;0"),"")</f>
        <v>21</v>
      </c>
      <c r="N31" s="17">
        <f>IF(L31&gt;0,COUNTIF($L$8:L31,"&gt;0"),"")</f>
        <v>20</v>
      </c>
    </row>
    <row r="32" spans="1:14" x14ac:dyDescent="0.35">
      <c r="A32" s="11" t="s">
        <v>93</v>
      </c>
      <c r="B32" s="11" t="str">
        <f>INDEX('Raw Data'!$D$2:$D$251,MATCH(A32,'Raw Data'!$C$2:$C$251,0))</f>
        <v>Mark Carter</v>
      </c>
      <c r="C32" s="11" t="str">
        <f t="shared" si="0"/>
        <v>MC</v>
      </c>
      <c r="D32" s="11" t="str">
        <f t="shared" si="1"/>
        <v>MC-025</v>
      </c>
      <c r="E32" s="10">
        <f>COUNTIFS('Raw Data'!$C$2:$C$251,A32)</f>
        <v>12</v>
      </c>
      <c r="F32" s="10">
        <f>SUMIFS('Raw Data'!$H$2:$H$251,'Raw Data'!$C$2:$C$251,A32)</f>
        <v>35</v>
      </c>
      <c r="G32" s="9">
        <f>SUMIFS('Raw Data'!$N$2:$N$251,'Raw Data'!$C$2:$C$251,A32)</f>
        <v>15659.65</v>
      </c>
      <c r="H32" s="9">
        <f t="shared" si="2"/>
        <v>1304.9708333333333</v>
      </c>
      <c r="I32" s="17">
        <f>RANK(G32,$G$8:$G$57)+COUNTIF($G$8:G32,G32)-1</f>
        <v>1</v>
      </c>
      <c r="J32" s="11" t="str">
        <f t="shared" si="3"/>
        <v>High-Value</v>
      </c>
      <c r="K32" s="10">
        <f>COUNTIFS('Raw Data'!$C$2:$C$251,A32,'Raw Data'!$G$2:$G$251,"Electronics")</f>
        <v>7</v>
      </c>
      <c r="L32" s="10">
        <f>COUNTIFS('Raw Data'!$C$2:$C$251,A32,'Raw Data'!$G$2:$G$251,"Furniture")</f>
        <v>5</v>
      </c>
      <c r="M32" s="17">
        <f>IF(K32&gt;0,COUNTIF($K$8:K32,"&gt;0"),"")</f>
        <v>22</v>
      </c>
      <c r="N32" s="17">
        <f>IF(L32&gt;0,COUNTIF($L$8:L32,"&gt;0"),"")</f>
        <v>21</v>
      </c>
    </row>
    <row r="33" spans="1:14" x14ac:dyDescent="0.35">
      <c r="A33" s="11" t="s">
        <v>75</v>
      </c>
      <c r="B33" s="11" t="str">
        <f>INDEX('Raw Data'!$D$2:$D$251,MATCH(A33,'Raw Data'!$C$2:$C$251,0))</f>
        <v>Karen Hill</v>
      </c>
      <c r="C33" s="11" t="str">
        <f t="shared" si="0"/>
        <v>KH</v>
      </c>
      <c r="D33" s="11" t="str">
        <f t="shared" si="1"/>
        <v>KH-026</v>
      </c>
      <c r="E33" s="10">
        <f>COUNTIFS('Raw Data'!$C$2:$C$251,A33)</f>
        <v>8</v>
      </c>
      <c r="F33" s="10">
        <f>SUMIFS('Raw Data'!$H$2:$H$251,'Raw Data'!$C$2:$C$251,A33)</f>
        <v>23</v>
      </c>
      <c r="G33" s="9">
        <f>SUMIFS('Raw Data'!$N$2:$N$251,'Raw Data'!$C$2:$C$251,A33)</f>
        <v>8009.7699999999995</v>
      </c>
      <c r="H33" s="9">
        <f t="shared" si="2"/>
        <v>1001.2212499999999</v>
      </c>
      <c r="I33" s="17">
        <f>RANK(G33,$G$8:$G$57)+COUNTIF($G$8:G33,G33)-1</f>
        <v>7</v>
      </c>
      <c r="J33" s="11" t="str">
        <f t="shared" si="3"/>
        <v>High-Value</v>
      </c>
      <c r="K33" s="10">
        <f>COUNTIFS('Raw Data'!$C$2:$C$251,A33,'Raw Data'!$G$2:$G$251,"Electronics")</f>
        <v>5</v>
      </c>
      <c r="L33" s="10">
        <f>COUNTIFS('Raw Data'!$C$2:$C$251,A33,'Raw Data'!$G$2:$G$251,"Furniture")</f>
        <v>2</v>
      </c>
      <c r="M33" s="17">
        <f>IF(K33&gt;0,COUNTIF($K$8:K33,"&gt;0"),"")</f>
        <v>23</v>
      </c>
      <c r="N33" s="17">
        <f>IF(L33&gt;0,COUNTIF($L$8:L33,"&gt;0"),"")</f>
        <v>22</v>
      </c>
    </row>
    <row r="34" spans="1:14" x14ac:dyDescent="0.35">
      <c r="A34" s="11" t="s">
        <v>90</v>
      </c>
      <c r="B34" s="11" t="str">
        <f>INDEX('Raw Data'!$D$2:$D$251,MATCH(A34,'Raw Data'!$C$2:$C$251,0))</f>
        <v>George Adams</v>
      </c>
      <c r="C34" s="11" t="str">
        <f t="shared" si="0"/>
        <v>GA</v>
      </c>
      <c r="D34" s="11" t="str">
        <f t="shared" si="1"/>
        <v>GA-027</v>
      </c>
      <c r="E34" s="10">
        <f>COUNTIFS('Raw Data'!$C$2:$C$251,A34)</f>
        <v>3</v>
      </c>
      <c r="F34" s="10">
        <f>SUMIFS('Raw Data'!$H$2:$H$251,'Raw Data'!$C$2:$C$251,A34)</f>
        <v>7</v>
      </c>
      <c r="G34" s="9">
        <f>SUMIFS('Raw Data'!$N$2:$N$251,'Raw Data'!$C$2:$C$251,A34)</f>
        <v>3779.93</v>
      </c>
      <c r="H34" s="9">
        <f t="shared" si="2"/>
        <v>1259.9766666666667</v>
      </c>
      <c r="I34" s="17">
        <f>RANK(G34,$G$8:$G$57)+COUNTIF($G$8:G34,G34)-1</f>
        <v>28</v>
      </c>
      <c r="J34" s="11" t="str">
        <f t="shared" si="3"/>
        <v>Low-Value</v>
      </c>
      <c r="K34" s="10">
        <f>COUNTIFS('Raw Data'!$C$2:$C$251,A34,'Raw Data'!$G$2:$G$251,"Electronics")</f>
        <v>2</v>
      </c>
      <c r="L34" s="10">
        <f>COUNTIFS('Raw Data'!$C$2:$C$251,A34,'Raw Data'!$G$2:$G$251,"Furniture")</f>
        <v>0</v>
      </c>
      <c r="M34" s="17">
        <f>IF(K34&gt;0,COUNTIF($K$8:K34,"&gt;0"),"")</f>
        <v>24</v>
      </c>
      <c r="N34" s="17" t="str">
        <f>IF(L34&gt;0,COUNTIF($L$8:L34,"&gt;0"),"")</f>
        <v/>
      </c>
    </row>
    <row r="35" spans="1:14" x14ac:dyDescent="0.35">
      <c r="A35" s="11" t="s">
        <v>164</v>
      </c>
      <c r="B35" s="11" t="str">
        <f>INDEX('Raw Data'!$D$2:$D$251,MATCH(A35,'Raw Data'!$C$2:$C$251,0))</f>
        <v>Betty Campbell</v>
      </c>
      <c r="C35" s="11" t="str">
        <f t="shared" si="0"/>
        <v>BC</v>
      </c>
      <c r="D35" s="11" t="str">
        <f t="shared" si="1"/>
        <v>BC-028</v>
      </c>
      <c r="E35" s="10">
        <f>COUNTIFS('Raw Data'!$C$2:$C$251,A35)</f>
        <v>5</v>
      </c>
      <c r="F35" s="10">
        <f>SUMIFS('Raw Data'!$H$2:$H$251,'Raw Data'!$C$2:$C$251,A35)</f>
        <v>16</v>
      </c>
      <c r="G35" s="9">
        <f>SUMIFS('Raw Data'!$N$2:$N$251,'Raw Data'!$C$2:$C$251,A35)</f>
        <v>5649.84</v>
      </c>
      <c r="H35" s="9">
        <f t="shared" si="2"/>
        <v>1129.9680000000001</v>
      </c>
      <c r="I35" s="17">
        <f>RANK(G35,$G$8:$G$57)+COUNTIF($G$8:G35,G35)-1</f>
        <v>16</v>
      </c>
      <c r="J35" s="11" t="str">
        <f t="shared" si="3"/>
        <v>Mid-Value</v>
      </c>
      <c r="K35" s="10">
        <f>COUNTIFS('Raw Data'!$C$2:$C$251,A35,'Raw Data'!$G$2:$G$251,"Electronics")</f>
        <v>3</v>
      </c>
      <c r="L35" s="10">
        <f>COUNTIFS('Raw Data'!$C$2:$C$251,A35,'Raw Data'!$G$2:$G$251,"Furniture")</f>
        <v>1</v>
      </c>
      <c r="M35" s="17">
        <f>IF(K35&gt;0,COUNTIF($K$8:K35,"&gt;0"),"")</f>
        <v>25</v>
      </c>
      <c r="N35" s="17">
        <f>IF(L35&gt;0,COUNTIF($L$8:L35,"&gt;0"),"")</f>
        <v>23</v>
      </c>
    </row>
    <row r="36" spans="1:14" x14ac:dyDescent="0.35">
      <c r="A36" s="11" t="s">
        <v>133</v>
      </c>
      <c r="B36" s="11" t="str">
        <f>INDEX('Raw Data'!$D$2:$D$251,MATCH(A36,'Raw Data'!$C$2:$C$251,0))</f>
        <v>Edward Mitchell</v>
      </c>
      <c r="C36" s="11" t="str">
        <f t="shared" si="0"/>
        <v>EM</v>
      </c>
      <c r="D36" s="11" t="str">
        <f t="shared" si="1"/>
        <v>EM-029</v>
      </c>
      <c r="E36" s="10">
        <f>COUNTIFS('Raw Data'!$C$2:$C$251,A36)</f>
        <v>6</v>
      </c>
      <c r="F36" s="10">
        <f>SUMIFS('Raw Data'!$H$2:$H$251,'Raw Data'!$C$2:$C$251,A36)</f>
        <v>23</v>
      </c>
      <c r="G36" s="9">
        <f>SUMIFS('Raw Data'!$N$2:$N$251,'Raw Data'!$C$2:$C$251,A36)</f>
        <v>11919.769999999999</v>
      </c>
      <c r="H36" s="9">
        <f t="shared" si="2"/>
        <v>1986.6283333333331</v>
      </c>
      <c r="I36" s="17">
        <f>RANK(G36,$G$8:$G$57)+COUNTIF($G$8:G36,G36)-1</f>
        <v>2</v>
      </c>
      <c r="J36" s="11" t="str">
        <f t="shared" si="3"/>
        <v>High-Value</v>
      </c>
      <c r="K36" s="10">
        <f>COUNTIFS('Raw Data'!$C$2:$C$251,A36,'Raw Data'!$G$2:$G$251,"Electronics")</f>
        <v>4</v>
      </c>
      <c r="L36" s="10">
        <f>COUNTIFS('Raw Data'!$C$2:$C$251,A36,'Raw Data'!$G$2:$G$251,"Furniture")</f>
        <v>1</v>
      </c>
      <c r="M36" s="17">
        <f>IF(K36&gt;0,COUNTIF($K$8:K36,"&gt;0"),"")</f>
        <v>26</v>
      </c>
      <c r="N36" s="17">
        <f>IF(L36&gt;0,COUNTIF($L$8:L36,"&gt;0"),"")</f>
        <v>24</v>
      </c>
    </row>
    <row r="37" spans="1:14" x14ac:dyDescent="0.35">
      <c r="A37" s="11" t="s">
        <v>127</v>
      </c>
      <c r="B37" s="11" t="str">
        <f>INDEX('Raw Data'!$D$2:$D$251,MATCH(A37,'Raw Data'!$C$2:$C$251,0))</f>
        <v>Helen Roberts</v>
      </c>
      <c r="C37" s="11" t="str">
        <f t="shared" si="0"/>
        <v>HR</v>
      </c>
      <c r="D37" s="11" t="str">
        <f t="shared" si="1"/>
        <v>HR-030</v>
      </c>
      <c r="E37" s="10">
        <f>COUNTIFS('Raw Data'!$C$2:$C$251,A37)</f>
        <v>7</v>
      </c>
      <c r="F37" s="10">
        <f>SUMIFS('Raw Data'!$H$2:$H$251,'Raw Data'!$C$2:$C$251,A37)</f>
        <v>21</v>
      </c>
      <c r="G37" s="9">
        <f>SUMIFS('Raw Data'!$N$2:$N$251,'Raw Data'!$C$2:$C$251,A37)</f>
        <v>6459.79</v>
      </c>
      <c r="H37" s="9">
        <f t="shared" si="2"/>
        <v>922.8271428571428</v>
      </c>
      <c r="I37" s="17">
        <f>RANK(G37,$G$8:$G$57)+COUNTIF($G$8:G37,G37)-1</f>
        <v>11</v>
      </c>
      <c r="J37" s="11" t="str">
        <f t="shared" si="3"/>
        <v>Mid-Value</v>
      </c>
      <c r="K37" s="10">
        <f>COUNTIFS('Raw Data'!$C$2:$C$251,A37,'Raw Data'!$G$2:$G$251,"Electronics")</f>
        <v>3</v>
      </c>
      <c r="L37" s="10">
        <f>COUNTIFS('Raw Data'!$C$2:$C$251,A37,'Raw Data'!$G$2:$G$251,"Furniture")</f>
        <v>2</v>
      </c>
      <c r="M37" s="17">
        <f>IF(K37&gt;0,COUNTIF($K$8:K37,"&gt;0"),"")</f>
        <v>27</v>
      </c>
      <c r="N37" s="17">
        <f>IF(L37&gt;0,COUNTIF($L$8:L37,"&gt;0"),"")</f>
        <v>25</v>
      </c>
    </row>
    <row r="38" spans="1:14" x14ac:dyDescent="0.35">
      <c r="A38" s="11" t="s">
        <v>145</v>
      </c>
      <c r="B38" s="11" t="str">
        <f>INDEX('Raw Data'!$D$2:$D$251,MATCH(A38,'Raw Data'!$C$2:$C$251,0))</f>
        <v>Steven Turner</v>
      </c>
      <c r="C38" s="11" t="str">
        <f t="shared" si="0"/>
        <v>ST</v>
      </c>
      <c r="D38" s="11" t="str">
        <f t="shared" si="1"/>
        <v>ST-031</v>
      </c>
      <c r="E38" s="10">
        <f>COUNTIFS('Raw Data'!$C$2:$C$251,A38)</f>
        <v>6</v>
      </c>
      <c r="F38" s="10">
        <f>SUMIFS('Raw Data'!$H$2:$H$251,'Raw Data'!$C$2:$C$251,A38)</f>
        <v>17</v>
      </c>
      <c r="G38" s="9">
        <f>SUMIFS('Raw Data'!$N$2:$N$251,'Raw Data'!$C$2:$C$251,A38)</f>
        <v>2649.83</v>
      </c>
      <c r="H38" s="9">
        <f t="shared" si="2"/>
        <v>441.63833333333332</v>
      </c>
      <c r="I38" s="17">
        <f>RANK(G38,$G$8:$G$57)+COUNTIF($G$8:G38,G38)-1</f>
        <v>34</v>
      </c>
      <c r="J38" s="11" t="str">
        <f t="shared" si="3"/>
        <v>Low-Value</v>
      </c>
      <c r="K38" s="10">
        <f>COUNTIFS('Raw Data'!$C$2:$C$251,A38,'Raw Data'!$G$2:$G$251,"Electronics")</f>
        <v>2</v>
      </c>
      <c r="L38" s="10">
        <f>COUNTIFS('Raw Data'!$C$2:$C$251,A38,'Raw Data'!$G$2:$G$251,"Furniture")</f>
        <v>3</v>
      </c>
      <c r="M38" s="17">
        <f>IF(K38&gt;0,COUNTIF($K$8:K38,"&gt;0"),"")</f>
        <v>28</v>
      </c>
      <c r="N38" s="17">
        <f>IF(L38&gt;0,COUNTIF($L$8:L38,"&gt;0"),"")</f>
        <v>26</v>
      </c>
    </row>
    <row r="39" spans="1:14" x14ac:dyDescent="0.35">
      <c r="A39" s="11" t="s">
        <v>241</v>
      </c>
      <c r="B39" s="11" t="str">
        <f>INDEX('Raw Data'!$D$2:$D$251,MATCH(A39,'Raw Data'!$C$2:$C$251,0))</f>
        <v>Sandra Phillips</v>
      </c>
      <c r="C39" s="11" t="str">
        <f t="shared" si="0"/>
        <v>SP</v>
      </c>
      <c r="D39" s="11" t="str">
        <f t="shared" si="1"/>
        <v>SP-032</v>
      </c>
      <c r="E39" s="10">
        <f>COUNTIFS('Raw Data'!$C$2:$C$251,A39)</f>
        <v>5</v>
      </c>
      <c r="F39" s="10">
        <f>SUMIFS('Raw Data'!$H$2:$H$251,'Raw Data'!$C$2:$C$251,A39)</f>
        <v>17</v>
      </c>
      <c r="G39" s="9">
        <f>SUMIFS('Raw Data'!$N$2:$N$251,'Raw Data'!$C$2:$C$251,A39)</f>
        <v>6349.83</v>
      </c>
      <c r="H39" s="9">
        <f t="shared" si="2"/>
        <v>1269.9659999999999</v>
      </c>
      <c r="I39" s="17">
        <f>RANK(G39,$G$8:$G$57)+COUNTIF($G$8:G39,G39)-1</f>
        <v>13</v>
      </c>
      <c r="J39" s="11" t="str">
        <f t="shared" si="3"/>
        <v>Mid-Value</v>
      </c>
      <c r="K39" s="10">
        <f>COUNTIFS('Raw Data'!$C$2:$C$251,A39,'Raw Data'!$G$2:$G$251,"Electronics")</f>
        <v>3</v>
      </c>
      <c r="L39" s="10">
        <f>COUNTIFS('Raw Data'!$C$2:$C$251,A39,'Raw Data'!$G$2:$G$251,"Furniture")</f>
        <v>2</v>
      </c>
      <c r="M39" s="17">
        <f>IF(K39&gt;0,COUNTIF($K$8:K39,"&gt;0"),"")</f>
        <v>29</v>
      </c>
      <c r="N39" s="17">
        <f>IF(L39&gt;0,COUNTIF($L$8:L39,"&gt;0"),"")</f>
        <v>27</v>
      </c>
    </row>
    <row r="40" spans="1:14" x14ac:dyDescent="0.35">
      <c r="A40" s="11" t="s">
        <v>199</v>
      </c>
      <c r="B40" s="11" t="str">
        <f>INDEX('Raw Data'!$D$2:$D$251,MATCH(A40,'Raw Data'!$C$2:$C$251,0))</f>
        <v>Frank Torres</v>
      </c>
      <c r="C40" s="11" t="str">
        <f t="shared" ref="C40:C57" si="4">UPPER(LEFT(B40,1))&amp;UPPER(MID(B40,FIND(" ",B40)+1,1))</f>
        <v>FT</v>
      </c>
      <c r="D40" s="11" t="str">
        <f t="shared" ref="D40:D57" si="5">C40&amp;"-"&amp;TEXT(VALUE(RIGHT(A40,3)),"000")</f>
        <v>FT-033</v>
      </c>
      <c r="E40" s="10">
        <f>COUNTIFS('Raw Data'!$C$2:$C$251,A40)</f>
        <v>5</v>
      </c>
      <c r="F40" s="10">
        <f>SUMIFS('Raw Data'!$H$2:$H$251,'Raw Data'!$C$2:$C$251,A40)</f>
        <v>9</v>
      </c>
      <c r="G40" s="9">
        <f>SUMIFS('Raw Data'!$N$2:$N$251,'Raw Data'!$C$2:$C$251,A40)</f>
        <v>1479.91</v>
      </c>
      <c r="H40" s="9">
        <f t="shared" ref="H40:H57" si="6">IFERROR(G40/E40,0)</f>
        <v>295.98200000000003</v>
      </c>
      <c r="I40" s="17">
        <f>RANK(G40,$G$8:$G$57)+COUNTIF($G$8:G40,G40)-1</f>
        <v>42</v>
      </c>
      <c r="J40" s="11" t="str">
        <f t="shared" ref="J40:J57" si="7">IF(G40&gt;=$B$5,"High-Value",IF(G40&gt;=MEDIAN($G$8:$G$57),"Mid-Value","Low-Value"))</f>
        <v>Low-Value</v>
      </c>
      <c r="K40" s="10">
        <f>COUNTIFS('Raw Data'!$C$2:$C$251,A40,'Raw Data'!$G$2:$G$251,"Electronics")</f>
        <v>0</v>
      </c>
      <c r="L40" s="10">
        <f>COUNTIFS('Raw Data'!$C$2:$C$251,A40,'Raw Data'!$G$2:$G$251,"Furniture")</f>
        <v>3</v>
      </c>
      <c r="M40" s="17" t="str">
        <f>IF(K40&gt;0,COUNTIF($K$8:K40,"&gt;0"),"")</f>
        <v/>
      </c>
      <c r="N40" s="17">
        <f>IF(L40&gt;0,COUNTIF($L$8:L40,"&gt;0"),"")</f>
        <v>28</v>
      </c>
    </row>
    <row r="41" spans="1:14" x14ac:dyDescent="0.35">
      <c r="A41" s="11" t="s">
        <v>238</v>
      </c>
      <c r="B41" s="11" t="str">
        <f>INDEX('Raw Data'!$D$2:$D$251,MATCH(A41,'Raw Data'!$C$2:$C$251,0))</f>
        <v>Carol Evans</v>
      </c>
      <c r="C41" s="11" t="str">
        <f t="shared" si="4"/>
        <v>CE</v>
      </c>
      <c r="D41" s="11" t="str">
        <f t="shared" si="5"/>
        <v>CE-034</v>
      </c>
      <c r="E41" s="10">
        <f>COUNTIFS('Raw Data'!$C$2:$C$251,A41)</f>
        <v>3</v>
      </c>
      <c r="F41" s="10">
        <f>SUMIFS('Raw Data'!$H$2:$H$251,'Raw Data'!$C$2:$C$251,A41)</f>
        <v>7</v>
      </c>
      <c r="G41" s="9">
        <f>SUMIFS('Raw Data'!$N$2:$N$251,'Raw Data'!$C$2:$C$251,A41)</f>
        <v>1149.93</v>
      </c>
      <c r="H41" s="9">
        <f t="shared" si="6"/>
        <v>383.31</v>
      </c>
      <c r="I41" s="17">
        <f>RANK(G41,$G$8:$G$57)+COUNTIF($G$8:G41,G41)-1</f>
        <v>45</v>
      </c>
      <c r="J41" s="11" t="str">
        <f t="shared" si="7"/>
        <v>Low-Value</v>
      </c>
      <c r="K41" s="10">
        <f>COUNTIFS('Raw Data'!$C$2:$C$251,A41,'Raw Data'!$G$2:$G$251,"Electronics")</f>
        <v>2</v>
      </c>
      <c r="L41" s="10">
        <f>COUNTIFS('Raw Data'!$C$2:$C$251,A41,'Raw Data'!$G$2:$G$251,"Furniture")</f>
        <v>1</v>
      </c>
      <c r="M41" s="17">
        <f>IF(K41&gt;0,COUNTIF($K$8:K41,"&gt;0"),"")</f>
        <v>30</v>
      </c>
      <c r="N41" s="17">
        <f>IF(L41&gt;0,COUNTIF($L$8:L41,"&gt;0"),"")</f>
        <v>29</v>
      </c>
    </row>
    <row r="42" spans="1:14" x14ac:dyDescent="0.35">
      <c r="A42" s="11" t="s">
        <v>151</v>
      </c>
      <c r="B42" s="11" t="str">
        <f>INDEX('Raw Data'!$D$2:$D$251,MATCH(A42,'Raw Data'!$C$2:$C$251,0))</f>
        <v>Harry Morgan</v>
      </c>
      <c r="C42" s="11" t="str">
        <f t="shared" si="4"/>
        <v>HM</v>
      </c>
      <c r="D42" s="11" t="str">
        <f t="shared" si="5"/>
        <v>HM-035</v>
      </c>
      <c r="E42" s="10">
        <f>COUNTIFS('Raw Data'!$C$2:$C$251,A42)</f>
        <v>4</v>
      </c>
      <c r="F42" s="10">
        <f>SUMIFS('Raw Data'!$H$2:$H$251,'Raw Data'!$C$2:$C$251,A42)</f>
        <v>11</v>
      </c>
      <c r="G42" s="9">
        <f>SUMIFS('Raw Data'!$N$2:$N$251,'Raw Data'!$C$2:$C$251,A42)</f>
        <v>5519.8899999999994</v>
      </c>
      <c r="H42" s="9">
        <f t="shared" si="6"/>
        <v>1379.9724999999999</v>
      </c>
      <c r="I42" s="17">
        <f>RANK(G42,$G$8:$G$57)+COUNTIF($G$8:G42,G42)-1</f>
        <v>18</v>
      </c>
      <c r="J42" s="11" t="str">
        <f t="shared" si="7"/>
        <v>Mid-Value</v>
      </c>
      <c r="K42" s="10">
        <f>COUNTIFS('Raw Data'!$C$2:$C$251,A42,'Raw Data'!$G$2:$G$251,"Electronics")</f>
        <v>4</v>
      </c>
      <c r="L42" s="10">
        <f>COUNTIFS('Raw Data'!$C$2:$C$251,A42,'Raw Data'!$G$2:$G$251,"Furniture")</f>
        <v>0</v>
      </c>
      <c r="M42" s="17">
        <f>IF(K42&gt;0,COUNTIF($K$8:K42,"&gt;0"),"")</f>
        <v>31</v>
      </c>
      <c r="N42" s="17" t="str">
        <f>IF(L42&gt;0,COUNTIF($L$8:L42,"&gt;0"),"")</f>
        <v/>
      </c>
    </row>
    <row r="43" spans="1:14" x14ac:dyDescent="0.35">
      <c r="A43" s="11" t="s">
        <v>115</v>
      </c>
      <c r="B43" s="11" t="str">
        <f>INDEX('Raw Data'!$D$2:$D$251,MATCH(A43,'Raw Data'!$C$2:$C$251,0))</f>
        <v>Nancy Collins</v>
      </c>
      <c r="C43" s="11" t="str">
        <f t="shared" si="4"/>
        <v>NC</v>
      </c>
      <c r="D43" s="11" t="str">
        <f t="shared" si="5"/>
        <v>NC-036</v>
      </c>
      <c r="E43" s="10">
        <f>COUNTIFS('Raw Data'!$C$2:$C$251,A43)</f>
        <v>6</v>
      </c>
      <c r="F43" s="10">
        <f>SUMIFS('Raw Data'!$H$2:$H$251,'Raw Data'!$C$2:$C$251,A43)</f>
        <v>23</v>
      </c>
      <c r="G43" s="9">
        <f>SUMIFS('Raw Data'!$N$2:$N$251,'Raw Data'!$C$2:$C$251,A43)</f>
        <v>4189.7700000000004</v>
      </c>
      <c r="H43" s="9">
        <f t="shared" si="6"/>
        <v>698.29500000000007</v>
      </c>
      <c r="I43" s="17">
        <f>RANK(G43,$G$8:$G$57)+COUNTIF($G$8:G43,G43)-1</f>
        <v>27</v>
      </c>
      <c r="J43" s="11" t="str">
        <f t="shared" si="7"/>
        <v>Low-Value</v>
      </c>
      <c r="K43" s="10">
        <f>COUNTIFS('Raw Data'!$C$2:$C$251,A43,'Raw Data'!$G$2:$G$251,"Electronics")</f>
        <v>3</v>
      </c>
      <c r="L43" s="10">
        <f>COUNTIFS('Raw Data'!$C$2:$C$251,A43,'Raw Data'!$G$2:$G$251,"Furniture")</f>
        <v>2</v>
      </c>
      <c r="M43" s="17">
        <f>IF(K43&gt;0,COUNTIF($K$8:K43,"&gt;0"),"")</f>
        <v>32</v>
      </c>
      <c r="N43" s="17">
        <f>IF(L43&gt;0,COUNTIF($L$8:L43,"&gt;0"),"")</f>
        <v>30</v>
      </c>
    </row>
    <row r="44" spans="1:14" x14ac:dyDescent="0.35">
      <c r="A44" s="11" t="s">
        <v>332</v>
      </c>
      <c r="B44" s="11" t="str">
        <f>INDEX('Raw Data'!$D$2:$D$251,MATCH(A44,'Raw Data'!$C$2:$C$251,0))</f>
        <v>Arthur Edwards</v>
      </c>
      <c r="C44" s="11" t="str">
        <f t="shared" si="4"/>
        <v>AE</v>
      </c>
      <c r="D44" s="11" t="str">
        <f t="shared" si="5"/>
        <v>AE-037</v>
      </c>
      <c r="E44" s="10">
        <f>COUNTIFS('Raw Data'!$C$2:$C$251,A44)</f>
        <v>3</v>
      </c>
      <c r="F44" s="10">
        <f>SUMIFS('Raw Data'!$H$2:$H$251,'Raw Data'!$C$2:$C$251,A44)</f>
        <v>6</v>
      </c>
      <c r="G44" s="9">
        <f>SUMIFS('Raw Data'!$N$2:$N$251,'Raw Data'!$C$2:$C$251,A44)</f>
        <v>1559.94</v>
      </c>
      <c r="H44" s="9">
        <f t="shared" si="6"/>
        <v>519.98</v>
      </c>
      <c r="I44" s="17">
        <f>RANK(G44,$G$8:$G$57)+COUNTIF($G$8:G44,G44)-1</f>
        <v>41</v>
      </c>
      <c r="J44" s="11" t="str">
        <f t="shared" si="7"/>
        <v>Low-Value</v>
      </c>
      <c r="K44" s="10">
        <f>COUNTIFS('Raw Data'!$C$2:$C$251,A44,'Raw Data'!$G$2:$G$251,"Electronics")</f>
        <v>1</v>
      </c>
      <c r="L44" s="10">
        <f>COUNTIFS('Raw Data'!$C$2:$C$251,A44,'Raw Data'!$G$2:$G$251,"Furniture")</f>
        <v>1</v>
      </c>
      <c r="M44" s="17">
        <f>IF(K44&gt;0,COUNTIF($K$8:K44,"&gt;0"),"")</f>
        <v>33</v>
      </c>
      <c r="N44" s="17">
        <f>IF(L44&gt;0,COUNTIF($L$8:L44,"&gt;0"),"")</f>
        <v>31</v>
      </c>
    </row>
    <row r="45" spans="1:14" x14ac:dyDescent="0.35">
      <c r="A45" s="11" t="s">
        <v>85</v>
      </c>
      <c r="B45" s="11" t="str">
        <f>INDEX('Raw Data'!$D$2:$D$251,MATCH(A45,'Raw Data'!$C$2:$C$251,0))</f>
        <v>Michelle Rogers</v>
      </c>
      <c r="C45" s="11" t="str">
        <f t="shared" si="4"/>
        <v>MR</v>
      </c>
      <c r="D45" s="11" t="str">
        <f t="shared" si="5"/>
        <v>MR-038</v>
      </c>
      <c r="E45" s="10">
        <f>COUNTIFS('Raw Data'!$C$2:$C$251,A45)</f>
        <v>2</v>
      </c>
      <c r="F45" s="10">
        <f>SUMIFS('Raw Data'!$H$2:$H$251,'Raw Data'!$C$2:$C$251,A45)</f>
        <v>6</v>
      </c>
      <c r="G45" s="9">
        <f>SUMIFS('Raw Data'!$N$2:$N$251,'Raw Data'!$C$2:$C$251,A45)</f>
        <v>4199.9399999999996</v>
      </c>
      <c r="H45" s="9">
        <f t="shared" si="6"/>
        <v>2099.9699999999998</v>
      </c>
      <c r="I45" s="17">
        <f>RANK(G45,$G$8:$G$57)+COUNTIF($G$8:G45,G45)-1</f>
        <v>26</v>
      </c>
      <c r="J45" s="11" t="str">
        <f t="shared" si="7"/>
        <v>Low-Value</v>
      </c>
      <c r="K45" s="10">
        <f>COUNTIFS('Raw Data'!$C$2:$C$251,A45,'Raw Data'!$G$2:$G$251,"Electronics")</f>
        <v>2</v>
      </c>
      <c r="L45" s="10">
        <f>COUNTIFS('Raw Data'!$C$2:$C$251,A45,'Raw Data'!$G$2:$G$251,"Furniture")</f>
        <v>0</v>
      </c>
      <c r="M45" s="17">
        <f>IF(K45&gt;0,COUNTIF($K$8:K45,"&gt;0"),"")</f>
        <v>34</v>
      </c>
      <c r="N45" s="17" t="str">
        <f>IF(L45&gt;0,COUNTIF($L$8:L45,"&gt;0"),"")</f>
        <v/>
      </c>
    </row>
    <row r="46" spans="1:14" x14ac:dyDescent="0.35">
      <c r="A46" s="11" t="s">
        <v>233</v>
      </c>
      <c r="B46" s="11" t="str">
        <f>INDEX('Raw Data'!$D$2:$D$251,MATCH(A46,'Raw Data'!$C$2:$C$251,0))</f>
        <v>Lawrence Reed</v>
      </c>
      <c r="C46" s="11" t="str">
        <f t="shared" si="4"/>
        <v>LR</v>
      </c>
      <c r="D46" s="11" t="str">
        <f t="shared" si="5"/>
        <v>LR-039</v>
      </c>
      <c r="E46" s="10">
        <f>COUNTIFS('Raw Data'!$C$2:$C$251,A46)</f>
        <v>8</v>
      </c>
      <c r="F46" s="10">
        <f>SUMIFS('Raw Data'!$H$2:$H$251,'Raw Data'!$C$2:$C$251,A46)</f>
        <v>23</v>
      </c>
      <c r="G46" s="9">
        <f>SUMIFS('Raw Data'!$N$2:$N$251,'Raw Data'!$C$2:$C$251,A46)</f>
        <v>6989.7699999999986</v>
      </c>
      <c r="H46" s="9">
        <f t="shared" si="6"/>
        <v>873.72124999999983</v>
      </c>
      <c r="I46" s="17">
        <f>RANK(G46,$G$8:$G$57)+COUNTIF($G$8:G46,G46)-1</f>
        <v>9</v>
      </c>
      <c r="J46" s="11" t="str">
        <f t="shared" si="7"/>
        <v>High-Value</v>
      </c>
      <c r="K46" s="10">
        <f>COUNTIFS('Raw Data'!$C$2:$C$251,A46,'Raw Data'!$G$2:$G$251,"Electronics")</f>
        <v>5</v>
      </c>
      <c r="L46" s="10">
        <f>COUNTIFS('Raw Data'!$C$2:$C$251,A46,'Raw Data'!$G$2:$G$251,"Furniture")</f>
        <v>2</v>
      </c>
      <c r="M46" s="17">
        <f>IF(K46&gt;0,COUNTIF($K$8:K46,"&gt;0"),"")</f>
        <v>35</v>
      </c>
      <c r="N46" s="17">
        <f>IF(L46&gt;0,COUNTIF($L$8:L46,"&gt;0"),"")</f>
        <v>32</v>
      </c>
    </row>
    <row r="47" spans="1:14" x14ac:dyDescent="0.35">
      <c r="A47" s="11" t="s">
        <v>158</v>
      </c>
      <c r="B47" s="11" t="str">
        <f>INDEX('Raw Data'!$D$2:$D$251,MATCH(A47,'Raw Data'!$C$2:$C$251,0))</f>
        <v>Sharon Butler</v>
      </c>
      <c r="C47" s="11" t="str">
        <f t="shared" si="4"/>
        <v>SB</v>
      </c>
      <c r="D47" s="11" t="str">
        <f t="shared" si="5"/>
        <v>SB-040</v>
      </c>
      <c r="E47" s="10">
        <f>COUNTIFS('Raw Data'!$C$2:$C$251,A47)</f>
        <v>6</v>
      </c>
      <c r="F47" s="10">
        <f>SUMIFS('Raw Data'!$H$2:$H$251,'Raw Data'!$C$2:$C$251,A47)</f>
        <v>13</v>
      </c>
      <c r="G47" s="9">
        <f>SUMIFS('Raw Data'!$N$2:$N$251,'Raw Data'!$C$2:$C$251,A47)</f>
        <v>5619.869999999999</v>
      </c>
      <c r="H47" s="9">
        <f t="shared" si="6"/>
        <v>936.64499999999987</v>
      </c>
      <c r="I47" s="17">
        <f>RANK(G47,$G$8:$G$57)+COUNTIF($G$8:G47,G47)-1</f>
        <v>17</v>
      </c>
      <c r="J47" s="11" t="str">
        <f t="shared" si="7"/>
        <v>Mid-Value</v>
      </c>
      <c r="K47" s="10">
        <f>COUNTIFS('Raw Data'!$C$2:$C$251,A47,'Raw Data'!$G$2:$G$251,"Electronics")</f>
        <v>4</v>
      </c>
      <c r="L47" s="10">
        <f>COUNTIFS('Raw Data'!$C$2:$C$251,A47,'Raw Data'!$G$2:$G$251,"Furniture")</f>
        <v>0</v>
      </c>
      <c r="M47" s="17">
        <f>IF(K47&gt;0,COUNTIF($K$8:K47,"&gt;0"),"")</f>
        <v>36</v>
      </c>
      <c r="N47" s="17" t="str">
        <f>IF(L47&gt;0,COUNTIF($L$8:L47,"&gt;0"),"")</f>
        <v/>
      </c>
    </row>
    <row r="48" spans="1:14" x14ac:dyDescent="0.35">
      <c r="A48" s="11" t="s">
        <v>79</v>
      </c>
      <c r="B48" s="11" t="str">
        <f>INDEX('Raw Data'!$D$2:$D$251,MATCH(A48,'Raw Data'!$C$2:$C$251,0))</f>
        <v>Peter Richardson</v>
      </c>
      <c r="C48" s="11" t="str">
        <f t="shared" si="4"/>
        <v>PR</v>
      </c>
      <c r="D48" s="11" t="str">
        <f t="shared" si="5"/>
        <v>PR-041</v>
      </c>
      <c r="E48" s="10">
        <f>COUNTIFS('Raw Data'!$C$2:$C$251,A48)</f>
        <v>5</v>
      </c>
      <c r="F48" s="10">
        <f>SUMIFS('Raw Data'!$H$2:$H$251,'Raw Data'!$C$2:$C$251,A48)</f>
        <v>15</v>
      </c>
      <c r="G48" s="9">
        <f>SUMIFS('Raw Data'!$N$2:$N$251,'Raw Data'!$C$2:$C$251,A48)</f>
        <v>5949.85</v>
      </c>
      <c r="H48" s="9">
        <f t="shared" si="6"/>
        <v>1189.97</v>
      </c>
      <c r="I48" s="17">
        <f>RANK(G48,$G$8:$G$57)+COUNTIF($G$8:G48,G48)-1</f>
        <v>15</v>
      </c>
      <c r="J48" s="11" t="str">
        <f t="shared" si="7"/>
        <v>Mid-Value</v>
      </c>
      <c r="K48" s="10">
        <f>COUNTIFS('Raw Data'!$C$2:$C$251,A48,'Raw Data'!$G$2:$G$251,"Electronics")</f>
        <v>3</v>
      </c>
      <c r="L48" s="10">
        <f>COUNTIFS('Raw Data'!$C$2:$C$251,A48,'Raw Data'!$G$2:$G$251,"Furniture")</f>
        <v>2</v>
      </c>
      <c r="M48" s="17">
        <f>IF(K48&gt;0,COUNTIF($K$8:K48,"&gt;0"),"")</f>
        <v>37</v>
      </c>
      <c r="N48" s="17">
        <f>IF(L48&gt;0,COUNTIF($L$8:L48,"&gt;0"),"")</f>
        <v>33</v>
      </c>
    </row>
    <row r="49" spans="1:14" x14ac:dyDescent="0.35">
      <c r="A49" s="11" t="s">
        <v>253</v>
      </c>
      <c r="B49" s="11" t="str">
        <f>INDEX('Raw Data'!$D$2:$D$251,MATCH(A49,'Raw Data'!$C$2:$C$251,0))</f>
        <v>Ruth Brooks</v>
      </c>
      <c r="C49" s="11" t="str">
        <f t="shared" si="4"/>
        <v>RB</v>
      </c>
      <c r="D49" s="11" t="str">
        <f t="shared" si="5"/>
        <v>RB-042</v>
      </c>
      <c r="E49" s="10">
        <f>COUNTIFS('Raw Data'!$C$2:$C$251,A49)</f>
        <v>3</v>
      </c>
      <c r="F49" s="10">
        <f>SUMIFS('Raw Data'!$H$2:$H$251,'Raw Data'!$C$2:$C$251,A49)</f>
        <v>8</v>
      </c>
      <c r="G49" s="9">
        <f>SUMIFS('Raw Data'!$N$2:$N$251,'Raw Data'!$C$2:$C$251,A49)</f>
        <v>1749.92</v>
      </c>
      <c r="H49" s="9">
        <f t="shared" si="6"/>
        <v>583.30666666666673</v>
      </c>
      <c r="I49" s="17">
        <f>RANK(G49,$G$8:$G$57)+COUNTIF($G$8:G49,G49)-1</f>
        <v>40</v>
      </c>
      <c r="J49" s="11" t="str">
        <f t="shared" si="7"/>
        <v>Low-Value</v>
      </c>
      <c r="K49" s="10">
        <f>COUNTIFS('Raw Data'!$C$2:$C$251,A49,'Raw Data'!$G$2:$G$251,"Electronics")</f>
        <v>2</v>
      </c>
      <c r="L49" s="10">
        <f>COUNTIFS('Raw Data'!$C$2:$C$251,A49,'Raw Data'!$G$2:$G$251,"Furniture")</f>
        <v>1</v>
      </c>
      <c r="M49" s="17">
        <f>IF(K49&gt;0,COUNTIF($K$8:K49,"&gt;0"),"")</f>
        <v>38</v>
      </c>
      <c r="N49" s="17">
        <f>IF(L49&gt;0,COUNTIF($L$8:L49,"&gt;0"),"")</f>
        <v>34</v>
      </c>
    </row>
    <row r="50" spans="1:14" x14ac:dyDescent="0.35">
      <c r="A50" s="11" t="s">
        <v>82</v>
      </c>
      <c r="B50" s="11" t="str">
        <f>INDEX('Raw Data'!$D$2:$D$251,MATCH(A50,'Raw Data'!$C$2:$C$251,0))</f>
        <v>Dennis Gray</v>
      </c>
      <c r="C50" s="11" t="str">
        <f t="shared" si="4"/>
        <v>DG</v>
      </c>
      <c r="D50" s="11" t="str">
        <f t="shared" si="5"/>
        <v>DG-043</v>
      </c>
      <c r="E50" s="10">
        <f>COUNTIFS('Raw Data'!$C$2:$C$251,A50)</f>
        <v>2</v>
      </c>
      <c r="F50" s="10">
        <f>SUMIFS('Raw Data'!$H$2:$H$251,'Raw Data'!$C$2:$C$251,A50)</f>
        <v>8</v>
      </c>
      <c r="G50" s="9">
        <f>SUMIFS('Raw Data'!$N$2:$N$251,'Raw Data'!$C$2:$C$251,A50)</f>
        <v>479.91999999999996</v>
      </c>
      <c r="H50" s="9">
        <f t="shared" si="6"/>
        <v>239.95999999999998</v>
      </c>
      <c r="I50" s="17">
        <f>RANK(G50,$G$8:$G$57)+COUNTIF($G$8:G50,G50)-1</f>
        <v>48</v>
      </c>
      <c r="J50" s="11" t="str">
        <f t="shared" si="7"/>
        <v>Low-Value</v>
      </c>
      <c r="K50" s="10">
        <f>COUNTIFS('Raw Data'!$C$2:$C$251,A50,'Raw Data'!$G$2:$G$251,"Electronics")</f>
        <v>0</v>
      </c>
      <c r="L50" s="10">
        <f>COUNTIFS('Raw Data'!$C$2:$C$251,A50,'Raw Data'!$G$2:$G$251,"Furniture")</f>
        <v>0</v>
      </c>
      <c r="M50" s="17" t="str">
        <f>IF(K50&gt;0,COUNTIF($K$8:K50,"&gt;0"),"")</f>
        <v/>
      </c>
      <c r="N50" s="17" t="str">
        <f>IF(L50&gt;0,COUNTIF($L$8:L50,"&gt;0"),"")</f>
        <v/>
      </c>
    </row>
    <row r="51" spans="1:14" x14ac:dyDescent="0.35">
      <c r="A51" s="11" t="s">
        <v>109</v>
      </c>
      <c r="B51" s="11" t="str">
        <f>INDEX('Raw Data'!$D$2:$D$251,MATCH(A51,'Raw Data'!$C$2:$C$251,0))</f>
        <v>Cynthia Price</v>
      </c>
      <c r="C51" s="11" t="str">
        <f t="shared" si="4"/>
        <v>CP</v>
      </c>
      <c r="D51" s="11" t="str">
        <f t="shared" si="5"/>
        <v>CP-044</v>
      </c>
      <c r="E51" s="10">
        <f>COUNTIFS('Raw Data'!$C$2:$C$251,A51)</f>
        <v>5</v>
      </c>
      <c r="F51" s="10">
        <f>SUMIFS('Raw Data'!$H$2:$H$251,'Raw Data'!$C$2:$C$251,A51)</f>
        <v>17</v>
      </c>
      <c r="G51" s="9">
        <f>SUMIFS('Raw Data'!$N$2:$N$251,'Raw Data'!$C$2:$C$251,A51)</f>
        <v>3769.8300000000004</v>
      </c>
      <c r="H51" s="9">
        <f t="shared" si="6"/>
        <v>753.96600000000012</v>
      </c>
      <c r="I51" s="17">
        <f>RANK(G51,$G$8:$G$57)+COUNTIF($G$8:G51,G51)-1</f>
        <v>29</v>
      </c>
      <c r="J51" s="11" t="str">
        <f t="shared" si="7"/>
        <v>Low-Value</v>
      </c>
      <c r="K51" s="10">
        <f>COUNTIFS('Raw Data'!$C$2:$C$251,A51,'Raw Data'!$G$2:$G$251,"Electronics")</f>
        <v>2</v>
      </c>
      <c r="L51" s="10">
        <f>COUNTIFS('Raw Data'!$C$2:$C$251,A51,'Raw Data'!$G$2:$G$251,"Furniture")</f>
        <v>2</v>
      </c>
      <c r="M51" s="17">
        <f>IF(K51&gt;0,COUNTIF($K$8:K51,"&gt;0"),"")</f>
        <v>39</v>
      </c>
      <c r="N51" s="17">
        <f>IF(L51&gt;0,COUNTIF($L$8:L51,"&gt;0"),"")</f>
        <v>35</v>
      </c>
    </row>
    <row r="52" spans="1:14" x14ac:dyDescent="0.35">
      <c r="A52" s="11" t="s">
        <v>300</v>
      </c>
      <c r="B52" s="11" t="str">
        <f>INDEX('Raw Data'!$D$2:$D$251,MATCH(A52,'Raw Data'!$C$2:$C$251,0))</f>
        <v>Douglas Watson</v>
      </c>
      <c r="C52" s="11" t="str">
        <f t="shared" si="4"/>
        <v>DW</v>
      </c>
      <c r="D52" s="11" t="str">
        <f t="shared" si="5"/>
        <v>DW-045</v>
      </c>
      <c r="E52" s="10">
        <f>COUNTIFS('Raw Data'!$C$2:$C$251,A52)</f>
        <v>4</v>
      </c>
      <c r="F52" s="10">
        <f>SUMIFS('Raw Data'!$H$2:$H$251,'Raw Data'!$C$2:$C$251,A52)</f>
        <v>11</v>
      </c>
      <c r="G52" s="9">
        <f>SUMIFS('Raw Data'!$N$2:$N$251,'Raw Data'!$C$2:$C$251,A52)</f>
        <v>4829.8899999999994</v>
      </c>
      <c r="H52" s="9">
        <f t="shared" si="6"/>
        <v>1207.4724999999999</v>
      </c>
      <c r="I52" s="17">
        <f>RANK(G52,$G$8:$G$57)+COUNTIF($G$8:G52,G52)-1</f>
        <v>21</v>
      </c>
      <c r="J52" s="11" t="str">
        <f t="shared" si="7"/>
        <v>Mid-Value</v>
      </c>
      <c r="K52" s="10">
        <f>COUNTIFS('Raw Data'!$C$2:$C$251,A52,'Raw Data'!$G$2:$G$251,"Electronics")</f>
        <v>3</v>
      </c>
      <c r="L52" s="10">
        <f>COUNTIFS('Raw Data'!$C$2:$C$251,A52,'Raw Data'!$G$2:$G$251,"Furniture")</f>
        <v>0</v>
      </c>
      <c r="M52" s="17">
        <f>IF(K52&gt;0,COUNTIF($K$8:K52,"&gt;0"),"")</f>
        <v>40</v>
      </c>
      <c r="N52" s="17" t="str">
        <f>IF(L52&gt;0,COUNTIF($L$8:L52,"&gt;0"),"")</f>
        <v/>
      </c>
    </row>
    <row r="53" spans="1:14" x14ac:dyDescent="0.35">
      <c r="A53" s="11" t="s">
        <v>45</v>
      </c>
      <c r="B53" s="11" t="str">
        <f>INDEX('Raw Data'!$D$2:$D$251,MATCH(A53,'Raw Data'!$C$2:$C$251,0))</f>
        <v>Kathleen Bennett</v>
      </c>
      <c r="C53" s="11" t="str">
        <f t="shared" si="4"/>
        <v>KB</v>
      </c>
      <c r="D53" s="11" t="str">
        <f t="shared" si="5"/>
        <v>KB-046</v>
      </c>
      <c r="E53" s="10">
        <f>COUNTIFS('Raw Data'!$C$2:$C$251,A53)</f>
        <v>6</v>
      </c>
      <c r="F53" s="10">
        <f>SUMIFS('Raw Data'!$H$2:$H$251,'Raw Data'!$C$2:$C$251,A53)</f>
        <v>19</v>
      </c>
      <c r="G53" s="9">
        <f>SUMIFS('Raw Data'!$N$2:$N$251,'Raw Data'!$C$2:$C$251,A53)</f>
        <v>4309.8099999999995</v>
      </c>
      <c r="H53" s="9">
        <f t="shared" si="6"/>
        <v>718.30166666666662</v>
      </c>
      <c r="I53" s="17">
        <f>RANK(G53,$G$8:$G$57)+COUNTIF($G$8:G53,G53)-1</f>
        <v>25</v>
      </c>
      <c r="J53" s="11" t="str">
        <f t="shared" si="7"/>
        <v>Mid-Value</v>
      </c>
      <c r="K53" s="10">
        <f>COUNTIFS('Raw Data'!$C$2:$C$251,A53,'Raw Data'!$G$2:$G$251,"Electronics")</f>
        <v>3</v>
      </c>
      <c r="L53" s="10">
        <f>COUNTIFS('Raw Data'!$C$2:$C$251,A53,'Raw Data'!$G$2:$G$251,"Furniture")</f>
        <v>2</v>
      </c>
      <c r="M53" s="17">
        <f>IF(K53&gt;0,COUNTIF($K$8:K53,"&gt;0"),"")</f>
        <v>41</v>
      </c>
      <c r="N53" s="17">
        <f>IF(L53&gt;0,COUNTIF($L$8:L53,"&gt;0"),"")</f>
        <v>36</v>
      </c>
    </row>
    <row r="54" spans="1:14" x14ac:dyDescent="0.35">
      <c r="A54" s="11" t="s">
        <v>203</v>
      </c>
      <c r="B54" s="11" t="str">
        <f>INDEX('Raw Data'!$D$2:$D$251,MATCH(A54,'Raw Data'!$C$2:$C$251,0))</f>
        <v>Gerald Murphy</v>
      </c>
      <c r="C54" s="11" t="str">
        <f t="shared" si="4"/>
        <v>GM</v>
      </c>
      <c r="D54" s="11" t="str">
        <f t="shared" si="5"/>
        <v>GM-047</v>
      </c>
      <c r="E54" s="10">
        <f>COUNTIFS('Raw Data'!$C$2:$C$251,A54)</f>
        <v>4</v>
      </c>
      <c r="F54" s="10">
        <f>SUMIFS('Raw Data'!$H$2:$H$251,'Raw Data'!$C$2:$C$251,A54)</f>
        <v>13</v>
      </c>
      <c r="G54" s="9">
        <f>SUMIFS('Raw Data'!$N$2:$N$251,'Raw Data'!$C$2:$C$251,A54)</f>
        <v>6379.87</v>
      </c>
      <c r="H54" s="9">
        <f t="shared" si="6"/>
        <v>1594.9675</v>
      </c>
      <c r="I54" s="17">
        <f>RANK(G54,$G$8:$G$57)+COUNTIF($G$8:G54,G54)-1</f>
        <v>12</v>
      </c>
      <c r="J54" s="11" t="str">
        <f t="shared" si="7"/>
        <v>Mid-Value</v>
      </c>
      <c r="K54" s="10">
        <f>COUNTIFS('Raw Data'!$C$2:$C$251,A54,'Raw Data'!$G$2:$G$251,"Electronics")</f>
        <v>3</v>
      </c>
      <c r="L54" s="10">
        <f>COUNTIFS('Raw Data'!$C$2:$C$251,A54,'Raw Data'!$G$2:$G$251,"Furniture")</f>
        <v>0</v>
      </c>
      <c r="M54" s="17">
        <f>IF(K54&gt;0,COUNTIF($K$8:K54,"&gt;0"),"")</f>
        <v>42</v>
      </c>
      <c r="N54" s="17" t="str">
        <f>IF(L54&gt;0,COUNTIF($L$8:L54,"&gt;0"),"")</f>
        <v/>
      </c>
    </row>
    <row r="55" spans="1:14" x14ac:dyDescent="0.35">
      <c r="A55" s="11" t="s">
        <v>100</v>
      </c>
      <c r="B55" s="11" t="str">
        <f>INDEX('Raw Data'!$D$2:$D$251,MATCH(A55,'Raw Data'!$C$2:$C$251,0))</f>
        <v>Virginia Sanders</v>
      </c>
      <c r="C55" s="11" t="str">
        <f t="shared" si="4"/>
        <v>VS</v>
      </c>
      <c r="D55" s="11" t="str">
        <f t="shared" si="5"/>
        <v>VS-048</v>
      </c>
      <c r="E55" s="10">
        <f>COUNTIFS('Raw Data'!$C$2:$C$251,A55)</f>
        <v>6</v>
      </c>
      <c r="F55" s="10">
        <f>SUMIFS('Raw Data'!$H$2:$H$251,'Raw Data'!$C$2:$C$251,A55)</f>
        <v>21</v>
      </c>
      <c r="G55" s="9">
        <f>SUMIFS('Raw Data'!$N$2:$N$251,'Raw Data'!$C$2:$C$251,A55)</f>
        <v>4789.7900000000009</v>
      </c>
      <c r="H55" s="9">
        <f t="shared" si="6"/>
        <v>798.29833333333352</v>
      </c>
      <c r="I55" s="17">
        <f>RANK(G55,$G$8:$G$57)+COUNTIF($G$8:G55,G55)-1</f>
        <v>22</v>
      </c>
      <c r="J55" s="11" t="str">
        <f t="shared" si="7"/>
        <v>Mid-Value</v>
      </c>
      <c r="K55" s="10">
        <f>COUNTIFS('Raw Data'!$C$2:$C$251,A55,'Raw Data'!$G$2:$G$251,"Electronics")</f>
        <v>2</v>
      </c>
      <c r="L55" s="10">
        <f>COUNTIFS('Raw Data'!$C$2:$C$251,A55,'Raw Data'!$G$2:$G$251,"Furniture")</f>
        <v>3</v>
      </c>
      <c r="M55" s="17">
        <f>IF(K55&gt;0,COUNTIF($K$8:K55,"&gt;0"),"")</f>
        <v>43</v>
      </c>
      <c r="N55" s="17">
        <f>IF(L55&gt;0,COUNTIF($L$8:L55,"&gt;0"),"")</f>
        <v>37</v>
      </c>
    </row>
    <row r="56" spans="1:14" x14ac:dyDescent="0.35">
      <c r="A56" s="11" t="s">
        <v>178</v>
      </c>
      <c r="B56" s="11" t="str">
        <f>INDEX('Raw Data'!$D$2:$D$251,MATCH(A56,'Raw Data'!$C$2:$C$251,0))</f>
        <v>Raymond Ross</v>
      </c>
      <c r="C56" s="11" t="str">
        <f t="shared" si="4"/>
        <v>RR</v>
      </c>
      <c r="D56" s="11" t="str">
        <f t="shared" si="5"/>
        <v>RR-049</v>
      </c>
      <c r="E56" s="10">
        <f>COUNTIFS('Raw Data'!$C$2:$C$251,A56)</f>
        <v>4</v>
      </c>
      <c r="F56" s="10">
        <f>SUMIFS('Raw Data'!$H$2:$H$251,'Raw Data'!$C$2:$C$251,A56)</f>
        <v>15</v>
      </c>
      <c r="G56" s="9">
        <f>SUMIFS('Raw Data'!$N$2:$N$251,'Raw Data'!$C$2:$C$251,A56)</f>
        <v>3669.8500000000004</v>
      </c>
      <c r="H56" s="9">
        <f t="shared" si="6"/>
        <v>917.46250000000009</v>
      </c>
      <c r="I56" s="17">
        <f>RANK(G56,$G$8:$G$57)+COUNTIF($G$8:G56,G56)-1</f>
        <v>30</v>
      </c>
      <c r="J56" s="11" t="str">
        <f t="shared" si="7"/>
        <v>Low-Value</v>
      </c>
      <c r="K56" s="10">
        <f>COUNTIFS('Raw Data'!$C$2:$C$251,A56,'Raw Data'!$G$2:$G$251,"Electronics")</f>
        <v>3</v>
      </c>
      <c r="L56" s="10">
        <f>COUNTIFS('Raw Data'!$C$2:$C$251,A56,'Raw Data'!$G$2:$G$251,"Furniture")</f>
        <v>0</v>
      </c>
      <c r="M56" s="17">
        <f>IF(K56&gt;0,COUNTIF($K$8:K56,"&gt;0"),"")</f>
        <v>44</v>
      </c>
      <c r="N56" s="17" t="str">
        <f>IF(L56&gt;0,COUNTIF($L$8:L56,"&gt;0"),"")</f>
        <v/>
      </c>
    </row>
    <row r="57" spans="1:14" x14ac:dyDescent="0.35">
      <c r="A57" s="11" t="s">
        <v>169</v>
      </c>
      <c r="B57" s="11" t="str">
        <f>INDEX('Raw Data'!$D$2:$D$251,MATCH(A57,'Raw Data'!$C$2:$C$251,0))</f>
        <v>Julie Foster</v>
      </c>
      <c r="C57" s="11" t="str">
        <f t="shared" si="4"/>
        <v>JF</v>
      </c>
      <c r="D57" s="11" t="str">
        <f t="shared" si="5"/>
        <v>JF-050</v>
      </c>
      <c r="E57" s="10">
        <f>COUNTIFS('Raw Data'!$C$2:$C$251,A57)</f>
        <v>1</v>
      </c>
      <c r="F57" s="10">
        <f>SUMIFS('Raw Data'!$H$2:$H$251,'Raw Data'!$C$2:$C$251,A57)</f>
        <v>4</v>
      </c>
      <c r="G57" s="9">
        <f>SUMIFS('Raw Data'!$N$2:$N$251,'Raw Data'!$C$2:$C$251,A57)</f>
        <v>239.96</v>
      </c>
      <c r="H57" s="9">
        <f t="shared" si="6"/>
        <v>239.96</v>
      </c>
      <c r="I57" s="17">
        <f>RANK(G57,$G$8:$G$57)+COUNTIF($G$8:G57,G57)-1</f>
        <v>49</v>
      </c>
      <c r="J57" s="11" t="str">
        <f t="shared" si="7"/>
        <v>Low-Value</v>
      </c>
      <c r="K57" s="10">
        <f>COUNTIFS('Raw Data'!$C$2:$C$251,A57,'Raw Data'!$G$2:$G$251,"Electronics")</f>
        <v>0</v>
      </c>
      <c r="L57" s="10">
        <f>COUNTIFS('Raw Data'!$C$2:$C$251,A57,'Raw Data'!$G$2:$G$251,"Furniture")</f>
        <v>0</v>
      </c>
      <c r="M57" s="17" t="str">
        <f>IF(K57&gt;0,COUNTIF($K$8:K57,"&gt;0"),"")</f>
        <v/>
      </c>
      <c r="N57" s="17" t="str">
        <f>IF(L57&gt;0,COUNTIF($L$8:L57,"&gt;0"),"")</f>
        <v/>
      </c>
    </row>
    <row r="61" spans="1:14" ht="15.5" x14ac:dyDescent="0.35">
      <c r="A61" s="45" t="s">
        <v>456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</row>
    <row r="62" spans="1:14" ht="26" x14ac:dyDescent="0.35">
      <c r="A62" s="49" t="s">
        <v>443</v>
      </c>
      <c r="B62" s="49" t="s">
        <v>3</v>
      </c>
      <c r="C62" s="49" t="s">
        <v>415</v>
      </c>
      <c r="D62" s="49" t="s">
        <v>416</v>
      </c>
      <c r="E62" s="49" t="s">
        <v>451</v>
      </c>
      <c r="F62" s="49" t="s">
        <v>457</v>
      </c>
      <c r="H62" s="49" t="s">
        <v>451</v>
      </c>
      <c r="I62" s="49" t="s">
        <v>458</v>
      </c>
      <c r="J62" s="49" t="s">
        <v>415</v>
      </c>
      <c r="K62" s="49" t="s">
        <v>418</v>
      </c>
    </row>
    <row r="63" spans="1:14" x14ac:dyDescent="0.35">
      <c r="A63" s="17">
        <v>1</v>
      </c>
      <c r="B63" s="11" t="str">
        <f t="shared" ref="B63:B72" si="8">INDEX($B$8:$B$57,MATCH($A63,$I$8:$I$57,0))</f>
        <v>Mark Carter</v>
      </c>
      <c r="C63" s="9">
        <f t="shared" ref="C63:C72" si="9">INDEX($G$8:$G$57,MATCH($A63,$I$8:$I$57,0))</f>
        <v>15659.65</v>
      </c>
      <c r="D63" s="10">
        <f t="shared" ref="D63:D72" si="10">INDEX($E$8:$E$57,MATCH($A63,$I$8:$I$57,0))</f>
        <v>12</v>
      </c>
      <c r="E63" s="11" t="str">
        <f t="shared" ref="E63:E72" si="11">INDEX($J$8:$J$57,MATCH($A63,$I$8:$I$57,0))</f>
        <v>High-Value</v>
      </c>
      <c r="F63" s="12">
        <f t="shared" ref="F63:F72" si="12">C63/SUM($G$8:$G$57)</f>
        <v>6.8325324998679049E-2</v>
      </c>
      <c r="H63" s="11" t="s">
        <v>459</v>
      </c>
      <c r="I63" s="10">
        <f>COUNTIF($J$8:$J$57,H63)</f>
        <v>10</v>
      </c>
      <c r="J63" s="9">
        <f>SUMIFS($G$8:$G$57,$J$8:$J$57,H63)</f>
        <v>93867.66</v>
      </c>
      <c r="K63" s="12">
        <f>J63/SUM($G$8:$G$57)</f>
        <v>0.40955821977921003</v>
      </c>
    </row>
    <row r="64" spans="1:14" x14ac:dyDescent="0.35">
      <c r="A64" s="17">
        <v>2</v>
      </c>
      <c r="B64" s="11" t="str">
        <f t="shared" si="8"/>
        <v>Edward Mitchell</v>
      </c>
      <c r="C64" s="9">
        <f t="shared" si="9"/>
        <v>11919.769999999999</v>
      </c>
      <c r="D64" s="10">
        <f t="shared" si="10"/>
        <v>6</v>
      </c>
      <c r="E64" s="11" t="str">
        <f t="shared" si="11"/>
        <v>High-Value</v>
      </c>
      <c r="F64" s="12">
        <f t="shared" si="12"/>
        <v>5.2007685941863613E-2</v>
      </c>
      <c r="H64" s="11" t="s">
        <v>460</v>
      </c>
      <c r="I64" s="10">
        <f>COUNTIF($J$8:$J$57,H64)</f>
        <v>15</v>
      </c>
      <c r="J64" s="9">
        <f>SUMIFS($G$8:$G$57,$J$8:$J$57,H64)</f>
        <v>82107.47</v>
      </c>
      <c r="K64" s="12">
        <f>J64/SUM($G$8:$G$57)</f>
        <v>0.35824680453070734</v>
      </c>
    </row>
    <row r="65" spans="1:14" x14ac:dyDescent="0.35">
      <c r="A65" s="17">
        <v>3</v>
      </c>
      <c r="B65" s="11" t="str">
        <f t="shared" si="8"/>
        <v>Barbara Young</v>
      </c>
      <c r="C65" s="9">
        <f t="shared" si="9"/>
        <v>10649.8</v>
      </c>
      <c r="D65" s="10">
        <f t="shared" si="10"/>
        <v>5</v>
      </c>
      <c r="E65" s="11" t="str">
        <f t="shared" si="11"/>
        <v>High-Value</v>
      </c>
      <c r="F65" s="12">
        <f t="shared" si="12"/>
        <v>4.6466622572722389E-2</v>
      </c>
      <c r="H65" s="11" t="s">
        <v>461</v>
      </c>
      <c r="I65" s="10">
        <f>COUNTIF($J$8:$J$57,H65)</f>
        <v>25</v>
      </c>
      <c r="J65" s="9">
        <f>SUMIFS($G$8:$G$57,$J$8:$J$57,H65)</f>
        <v>53217.34</v>
      </c>
      <c r="K65" s="12">
        <f>J65/SUM($G$8:$G$57)</f>
        <v>0.23219497569008266</v>
      </c>
    </row>
    <row r="66" spans="1:14" x14ac:dyDescent="0.35">
      <c r="A66" s="17">
        <v>4</v>
      </c>
      <c r="B66" s="11" t="str">
        <f t="shared" si="8"/>
        <v>Patricia Moore</v>
      </c>
      <c r="C66" s="9">
        <f t="shared" si="9"/>
        <v>9799.73</v>
      </c>
      <c r="D66" s="10">
        <f t="shared" si="10"/>
        <v>8</v>
      </c>
      <c r="E66" s="11" t="str">
        <f t="shared" si="11"/>
        <v>High-Value</v>
      </c>
      <c r="F66" s="12">
        <f t="shared" si="12"/>
        <v>4.2757643826605643E-2</v>
      </c>
      <c r="H66" s="8" t="s">
        <v>421</v>
      </c>
      <c r="I66" s="15">
        <f>SUM(I63:I65)</f>
        <v>50</v>
      </c>
      <c r="J66" s="14">
        <f>SUM(J63:J65)</f>
        <v>229192.47</v>
      </c>
      <c r="K66" s="16">
        <f>SUM(K63:K65)</f>
        <v>1</v>
      </c>
    </row>
    <row r="67" spans="1:14" x14ac:dyDescent="0.35">
      <c r="A67" s="17">
        <v>5</v>
      </c>
      <c r="B67" s="11" t="str">
        <f t="shared" si="8"/>
        <v>Paul Baker</v>
      </c>
      <c r="C67" s="9">
        <f t="shared" si="9"/>
        <v>8309.739999999998</v>
      </c>
      <c r="D67" s="10">
        <f t="shared" si="10"/>
        <v>8</v>
      </c>
      <c r="E67" s="11" t="str">
        <f t="shared" si="11"/>
        <v>High-Value</v>
      </c>
      <c r="F67" s="12">
        <f t="shared" si="12"/>
        <v>3.625660127490226E-2</v>
      </c>
    </row>
    <row r="68" spans="1:14" x14ac:dyDescent="0.35">
      <c r="A68" s="17">
        <v>6</v>
      </c>
      <c r="B68" s="11" t="str">
        <f t="shared" si="8"/>
        <v>Dorothy Nelson</v>
      </c>
      <c r="C68" s="9">
        <f t="shared" si="9"/>
        <v>8269.7900000000009</v>
      </c>
      <c r="D68" s="10">
        <f t="shared" si="10"/>
        <v>6</v>
      </c>
      <c r="E68" s="11" t="str">
        <f t="shared" si="11"/>
        <v>High-Value</v>
      </c>
      <c r="F68" s="12">
        <f t="shared" si="12"/>
        <v>3.6082293628582132E-2</v>
      </c>
    </row>
    <row r="69" spans="1:14" x14ac:dyDescent="0.35">
      <c r="A69" s="17">
        <v>7</v>
      </c>
      <c r="B69" s="11" t="str">
        <f t="shared" si="8"/>
        <v>Karen Hill</v>
      </c>
      <c r="C69" s="9">
        <f t="shared" si="9"/>
        <v>8009.7699999999995</v>
      </c>
      <c r="D69" s="10">
        <f t="shared" si="10"/>
        <v>8</v>
      </c>
      <c r="E69" s="11" t="str">
        <f t="shared" si="11"/>
        <v>High-Value</v>
      </c>
      <c r="F69" s="12">
        <f t="shared" si="12"/>
        <v>3.4947788642445361E-2</v>
      </c>
    </row>
    <row r="70" spans="1:14" x14ac:dyDescent="0.35">
      <c r="A70" s="17">
        <v>8</v>
      </c>
      <c r="B70" s="11" t="str">
        <f t="shared" si="8"/>
        <v>Daniel King</v>
      </c>
      <c r="C70" s="9">
        <f t="shared" si="9"/>
        <v>7309.7999999999993</v>
      </c>
      <c r="D70" s="10">
        <f t="shared" si="10"/>
        <v>7</v>
      </c>
      <c r="E70" s="11" t="str">
        <f t="shared" si="11"/>
        <v>High-Value</v>
      </c>
      <c r="F70" s="12">
        <f t="shared" si="12"/>
        <v>3.1893717974242342E-2</v>
      </c>
    </row>
    <row r="71" spans="1:14" x14ac:dyDescent="0.35">
      <c r="A71" s="17">
        <v>9</v>
      </c>
      <c r="B71" s="11" t="str">
        <f t="shared" si="8"/>
        <v>Lawrence Reed</v>
      </c>
      <c r="C71" s="9">
        <f t="shared" si="9"/>
        <v>6989.7699999999986</v>
      </c>
      <c r="D71" s="10">
        <f t="shared" si="10"/>
        <v>8</v>
      </c>
      <c r="E71" s="11" t="str">
        <f t="shared" si="11"/>
        <v>High-Value</v>
      </c>
      <c r="F71" s="12">
        <f t="shared" si="12"/>
        <v>3.0497380651292771E-2</v>
      </c>
    </row>
    <row r="72" spans="1:14" x14ac:dyDescent="0.35">
      <c r="A72" s="17">
        <v>10</v>
      </c>
      <c r="B72" s="11" t="str">
        <f t="shared" si="8"/>
        <v>Joseph Jackson</v>
      </c>
      <c r="C72" s="9">
        <f t="shared" si="9"/>
        <v>6949.84</v>
      </c>
      <c r="D72" s="10">
        <f t="shared" si="10"/>
        <v>5</v>
      </c>
      <c r="E72" s="11" t="str">
        <f t="shared" si="11"/>
        <v>High-Value</v>
      </c>
      <c r="F72" s="12">
        <f t="shared" si="12"/>
        <v>3.0323160267874422E-2</v>
      </c>
    </row>
    <row r="76" spans="1:14" ht="15.5" x14ac:dyDescent="0.35">
      <c r="A76" s="45" t="s">
        <v>462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</row>
    <row r="77" spans="1:14" x14ac:dyDescent="0.35">
      <c r="A77" s="49" t="s">
        <v>463</v>
      </c>
      <c r="B77" s="49" t="s">
        <v>464</v>
      </c>
      <c r="C77" s="49" t="s">
        <v>465</v>
      </c>
      <c r="E77" s="50" t="s">
        <v>466</v>
      </c>
      <c r="F77" s="50" t="s">
        <v>467</v>
      </c>
      <c r="G77" s="50" t="s">
        <v>468</v>
      </c>
    </row>
    <row r="78" spans="1:14" x14ac:dyDescent="0.35">
      <c r="A78" s="11" t="str">
        <f>IFERROR(INDEX($B$8:$B$57,MATCH(ROWS($A$78:A78),$M$8:$M$57,0)),"")</f>
        <v>Emma Wilson</v>
      </c>
      <c r="B78" s="11" t="str">
        <f>IFERROR(INDEX($B$8:$B$57,MATCH(ROWS($B$78:B78),$N$8:$N$57,0)),"")</f>
        <v>John Smith</v>
      </c>
      <c r="C78" s="11" t="str">
        <f t="shared" ref="C78:C109" si="13">IF(A78="","",IF(ISNUMBER(MATCH(A78,$B$78:$B$127,0)),A78,""))</f>
        <v>Emma Wilson</v>
      </c>
      <c r="E78" s="10">
        <f>COUNTIF(A78:A127,"?*")</f>
        <v>44</v>
      </c>
      <c r="F78" s="10">
        <f>COUNTIF(B78:B127,"?*")</f>
        <v>37</v>
      </c>
      <c r="G78" s="10">
        <f>COUNTIF(C78:C127,"?*")</f>
        <v>34</v>
      </c>
    </row>
    <row r="79" spans="1:14" x14ac:dyDescent="0.35">
      <c r="A79" s="11" t="str">
        <f>IFERROR(INDEX($B$8:$B$57,MATCH(ROWS($A$78:A79),$M$8:$M$57,0)),"")</f>
        <v>Michael Brown</v>
      </c>
      <c r="B79" s="11" t="str">
        <f>IFERROR(INDEX($B$8:$B$57,MATCH(ROWS($B$78:B79),$N$8:$N$57,0)),"")</f>
        <v>Emma Wilson</v>
      </c>
      <c r="C79" s="11" t="str">
        <f t="shared" si="13"/>
        <v>Michael Brown</v>
      </c>
    </row>
    <row r="80" spans="1:14" x14ac:dyDescent="0.35">
      <c r="A80" s="11" t="str">
        <f>IFERROR(INDEX($B$8:$B$57,MATCH(ROWS($A$78:A80),$M$8:$M$57,0)),"")</f>
        <v>Sarah Davis</v>
      </c>
      <c r="B80" s="11" t="str">
        <f>IFERROR(INDEX($B$8:$B$57,MATCH(ROWS($B$78:B80),$N$8:$N$57,0)),"")</f>
        <v>Michael Brown</v>
      </c>
      <c r="C80" s="11" t="str">
        <f t="shared" si="13"/>
        <v>Sarah Davis</v>
      </c>
    </row>
    <row r="81" spans="1:3" x14ac:dyDescent="0.35">
      <c r="A81" s="11" t="str">
        <f>IFERROR(INDEX($B$8:$B$57,MATCH(ROWS($A$78:A81),$M$8:$M$57,0)),"")</f>
        <v>Lisa Anderson</v>
      </c>
      <c r="B81" s="11" t="str">
        <f>IFERROR(INDEX($B$8:$B$57,MATCH(ROWS($B$78:B81),$N$8:$N$57,0)),"")</f>
        <v>Sarah Davis</v>
      </c>
      <c r="C81" s="11" t="str">
        <f t="shared" si="13"/>
        <v>Lisa Anderson</v>
      </c>
    </row>
    <row r="82" spans="1:3" x14ac:dyDescent="0.35">
      <c r="A82" s="11" t="str">
        <f>IFERROR(INDEX($B$8:$B$57,MATCH(ROWS($A$78:A82),$M$8:$M$57,0)),"")</f>
        <v>David Martinez</v>
      </c>
      <c r="B82" s="11" t="str">
        <f>IFERROR(INDEX($B$8:$B$57,MATCH(ROWS($B$78:B82),$N$8:$N$57,0)),"")</f>
        <v>Lisa Anderson</v>
      </c>
      <c r="C82" s="11" t="str">
        <f t="shared" si="13"/>
        <v>David Martinez</v>
      </c>
    </row>
    <row r="83" spans="1:3" x14ac:dyDescent="0.35">
      <c r="A83" s="11" t="str">
        <f>IFERROR(INDEX($B$8:$B$57,MATCH(ROWS($A$78:A83),$M$8:$M$57,0)),"")</f>
        <v>Jennifer Taylor</v>
      </c>
      <c r="B83" s="11" t="str">
        <f>IFERROR(INDEX($B$8:$B$57,MATCH(ROWS($B$78:B83),$N$8:$N$57,0)),"")</f>
        <v>David Martinez</v>
      </c>
      <c r="C83" s="11" t="str">
        <f t="shared" si="13"/>
        <v>Jennifer Taylor</v>
      </c>
    </row>
    <row r="84" spans="1:3" x14ac:dyDescent="0.35">
      <c r="A84" s="11" t="str">
        <f>IFERROR(INDEX($B$8:$B$57,MATCH(ROWS($A$78:A84),$M$8:$M$57,0)),"")</f>
        <v>Robert Thomas</v>
      </c>
      <c r="B84" s="11" t="str">
        <f>IFERROR(INDEX($B$8:$B$57,MATCH(ROWS($B$78:B84),$N$8:$N$57,0)),"")</f>
        <v>Jennifer Taylor</v>
      </c>
      <c r="C84" s="11" t="str">
        <f t="shared" si="13"/>
        <v>Robert Thomas</v>
      </c>
    </row>
    <row r="85" spans="1:3" x14ac:dyDescent="0.35">
      <c r="A85" s="11" t="str">
        <f>IFERROR(INDEX($B$8:$B$57,MATCH(ROWS($A$78:A85),$M$8:$M$57,0)),"")</f>
        <v>Maria Garcia</v>
      </c>
      <c r="B85" s="11" t="str">
        <f>IFERROR(INDEX($B$8:$B$57,MATCH(ROWS($B$78:B85),$N$8:$N$57,0)),"")</f>
        <v>Robert Thomas</v>
      </c>
      <c r="C85" s="11" t="str">
        <f t="shared" si="13"/>
        <v>Maria Garcia</v>
      </c>
    </row>
    <row r="86" spans="1:3" x14ac:dyDescent="0.35">
      <c r="A86" s="11" t="str">
        <f>IFERROR(INDEX($B$8:$B$57,MATCH(ROWS($A$78:A86),$M$8:$M$57,0)),"")</f>
        <v>William White</v>
      </c>
      <c r="B86" s="11" t="str">
        <f>IFERROR(INDEX($B$8:$B$57,MATCH(ROWS($B$78:B86),$N$8:$N$57,0)),"")</f>
        <v>Maria Garcia</v>
      </c>
      <c r="C86" s="11" t="str">
        <f t="shared" si="13"/>
        <v/>
      </c>
    </row>
    <row r="87" spans="1:3" x14ac:dyDescent="0.35">
      <c r="A87" s="11" t="str">
        <f>IFERROR(INDEX($B$8:$B$57,MATCH(ROWS($A$78:A87),$M$8:$M$57,0)),"")</f>
        <v>Patricia Moore</v>
      </c>
      <c r="B87" s="11" t="str">
        <f>IFERROR(INDEX($B$8:$B$57,MATCH(ROWS($B$78:B87),$N$8:$N$57,0)),"")</f>
        <v>Patricia Moore</v>
      </c>
      <c r="C87" s="11" t="str">
        <f t="shared" si="13"/>
        <v>Patricia Moore</v>
      </c>
    </row>
    <row r="88" spans="1:3" x14ac:dyDescent="0.35">
      <c r="A88" s="11" t="str">
        <f>IFERROR(INDEX($B$8:$B$57,MATCH(ROWS($A$78:A88),$M$8:$M$57,0)),"")</f>
        <v>Joseph Jackson</v>
      </c>
      <c r="B88" s="11" t="str">
        <f>IFERROR(INDEX($B$8:$B$57,MATCH(ROWS($B$78:B88),$N$8:$N$57,0)),"")</f>
        <v>Linda Martin</v>
      </c>
      <c r="C88" s="11" t="str">
        <f t="shared" si="13"/>
        <v/>
      </c>
    </row>
    <row r="89" spans="1:3" x14ac:dyDescent="0.35">
      <c r="A89" s="11" t="str">
        <f>IFERROR(INDEX($B$8:$B$57,MATCH(ROWS($A$78:A89),$M$8:$M$57,0)),"")</f>
        <v>Linda Martin</v>
      </c>
      <c r="B89" s="11" t="str">
        <f>IFERROR(INDEX($B$8:$B$57,MATCH(ROWS($B$78:B89),$N$8:$N$57,0)),"")</f>
        <v>Richard Lee</v>
      </c>
      <c r="C89" s="11" t="str">
        <f t="shared" si="13"/>
        <v>Linda Martin</v>
      </c>
    </row>
    <row r="90" spans="1:3" x14ac:dyDescent="0.35">
      <c r="A90" s="11" t="str">
        <f>IFERROR(INDEX($B$8:$B$57,MATCH(ROWS($A$78:A90),$M$8:$M$57,0)),"")</f>
        <v>Elizabeth Hall</v>
      </c>
      <c r="B90" s="11" t="str">
        <f>IFERROR(INDEX($B$8:$B$57,MATCH(ROWS($B$78:B90),$N$8:$N$57,0)),"")</f>
        <v>Elizabeth Hall</v>
      </c>
      <c r="C90" s="11" t="str">
        <f t="shared" si="13"/>
        <v>Elizabeth Hall</v>
      </c>
    </row>
    <row r="91" spans="1:3" x14ac:dyDescent="0.35">
      <c r="A91" s="11" t="str">
        <f>IFERROR(INDEX($B$8:$B$57,MATCH(ROWS($A$78:A91),$M$8:$M$57,0)),"")</f>
        <v>Charles Allen</v>
      </c>
      <c r="B91" s="11" t="str">
        <f>IFERROR(INDEX($B$8:$B$57,MATCH(ROWS($B$78:B91),$N$8:$N$57,0)),"")</f>
        <v>Charles Allen</v>
      </c>
      <c r="C91" s="11" t="str">
        <f t="shared" si="13"/>
        <v>Charles Allen</v>
      </c>
    </row>
    <row r="92" spans="1:3" x14ac:dyDescent="0.35">
      <c r="A92" s="11" t="str">
        <f>IFERROR(INDEX($B$8:$B$57,MATCH(ROWS($A$78:A92),$M$8:$M$57,0)),"")</f>
        <v>Barbara Young</v>
      </c>
      <c r="B92" s="11" t="str">
        <f>IFERROR(INDEX($B$8:$B$57,MATCH(ROWS($B$78:B92),$N$8:$N$57,0)),"")</f>
        <v>Daniel King</v>
      </c>
      <c r="C92" s="11" t="str">
        <f t="shared" si="13"/>
        <v/>
      </c>
    </row>
    <row r="93" spans="1:3" x14ac:dyDescent="0.35">
      <c r="A93" s="11" t="str">
        <f>IFERROR(INDEX($B$8:$B$57,MATCH(ROWS($A$78:A93),$M$8:$M$57,0)),"")</f>
        <v>Daniel King</v>
      </c>
      <c r="B93" s="11" t="str">
        <f>IFERROR(INDEX($B$8:$B$57,MATCH(ROWS($B$78:B93),$N$8:$N$57,0)),"")</f>
        <v>Margaret Wright</v>
      </c>
      <c r="C93" s="11" t="str">
        <f t="shared" si="13"/>
        <v>Daniel King</v>
      </c>
    </row>
    <row r="94" spans="1:3" x14ac:dyDescent="0.35">
      <c r="A94" s="11" t="str">
        <f>IFERROR(INDEX($B$8:$B$57,MATCH(ROWS($A$78:A94),$M$8:$M$57,0)),"")</f>
        <v>Margaret Wright</v>
      </c>
      <c r="B94" s="11" t="str">
        <f>IFERROR(INDEX($B$8:$B$57,MATCH(ROWS($B$78:B94),$N$8:$N$57,0)),"")</f>
        <v>Kevin Scott</v>
      </c>
      <c r="C94" s="11" t="str">
        <f t="shared" si="13"/>
        <v>Margaret Wright</v>
      </c>
    </row>
    <row r="95" spans="1:3" x14ac:dyDescent="0.35">
      <c r="A95" s="11" t="str">
        <f>IFERROR(INDEX($B$8:$B$57,MATCH(ROWS($A$78:A95),$M$8:$M$57,0)),"")</f>
        <v>Kevin Scott</v>
      </c>
      <c r="B95" s="11" t="str">
        <f>IFERROR(INDEX($B$8:$B$57,MATCH(ROWS($B$78:B95),$N$8:$N$57,0)),"")</f>
        <v>Susan Green</v>
      </c>
      <c r="C95" s="11" t="str">
        <f t="shared" si="13"/>
        <v>Kevin Scott</v>
      </c>
    </row>
    <row r="96" spans="1:3" x14ac:dyDescent="0.35">
      <c r="A96" s="11" t="str">
        <f>IFERROR(INDEX($B$8:$B$57,MATCH(ROWS($A$78:A96),$M$8:$M$57,0)),"")</f>
        <v>Susan Green</v>
      </c>
      <c r="B96" s="11" t="str">
        <f>IFERROR(INDEX($B$8:$B$57,MATCH(ROWS($B$78:B96),$N$8:$N$57,0)),"")</f>
        <v>Paul Baker</v>
      </c>
      <c r="C96" s="11" t="str">
        <f t="shared" si="13"/>
        <v>Susan Green</v>
      </c>
    </row>
    <row r="97" spans="1:3" x14ac:dyDescent="0.35">
      <c r="A97" s="11" t="str">
        <f>IFERROR(INDEX($B$8:$B$57,MATCH(ROWS($A$78:A97),$M$8:$M$57,0)),"")</f>
        <v>Paul Baker</v>
      </c>
      <c r="B97" s="11" t="str">
        <f>IFERROR(INDEX($B$8:$B$57,MATCH(ROWS($B$78:B97),$N$8:$N$57,0)),"")</f>
        <v>Dorothy Nelson</v>
      </c>
      <c r="C97" s="11" t="str">
        <f t="shared" si="13"/>
        <v>Paul Baker</v>
      </c>
    </row>
    <row r="98" spans="1:3" x14ac:dyDescent="0.35">
      <c r="A98" s="11" t="str">
        <f>IFERROR(INDEX($B$8:$B$57,MATCH(ROWS($A$78:A98),$M$8:$M$57,0)),"")</f>
        <v>Dorothy Nelson</v>
      </c>
      <c r="B98" s="11" t="str">
        <f>IFERROR(INDEX($B$8:$B$57,MATCH(ROWS($B$78:B98),$N$8:$N$57,0)),"")</f>
        <v>Mark Carter</v>
      </c>
      <c r="C98" s="11" t="str">
        <f t="shared" si="13"/>
        <v>Dorothy Nelson</v>
      </c>
    </row>
    <row r="99" spans="1:3" x14ac:dyDescent="0.35">
      <c r="A99" s="11" t="str">
        <f>IFERROR(INDEX($B$8:$B$57,MATCH(ROWS($A$78:A99),$M$8:$M$57,0)),"")</f>
        <v>Mark Carter</v>
      </c>
      <c r="B99" s="11" t="str">
        <f>IFERROR(INDEX($B$8:$B$57,MATCH(ROWS($B$78:B99),$N$8:$N$57,0)),"")</f>
        <v>Karen Hill</v>
      </c>
      <c r="C99" s="11" t="str">
        <f t="shared" si="13"/>
        <v>Mark Carter</v>
      </c>
    </row>
    <row r="100" spans="1:3" x14ac:dyDescent="0.35">
      <c r="A100" s="11" t="str">
        <f>IFERROR(INDEX($B$8:$B$57,MATCH(ROWS($A$78:A100),$M$8:$M$57,0)),"")</f>
        <v>Karen Hill</v>
      </c>
      <c r="B100" s="11" t="str">
        <f>IFERROR(INDEX($B$8:$B$57,MATCH(ROWS($B$78:B100),$N$8:$N$57,0)),"")</f>
        <v>Betty Campbell</v>
      </c>
      <c r="C100" s="11" t="str">
        <f t="shared" si="13"/>
        <v>Karen Hill</v>
      </c>
    </row>
    <row r="101" spans="1:3" x14ac:dyDescent="0.35">
      <c r="A101" s="11" t="str">
        <f>IFERROR(INDEX($B$8:$B$57,MATCH(ROWS($A$78:A101),$M$8:$M$57,0)),"")</f>
        <v>George Adams</v>
      </c>
      <c r="B101" s="11" t="str">
        <f>IFERROR(INDEX($B$8:$B$57,MATCH(ROWS($B$78:B101),$N$8:$N$57,0)),"")</f>
        <v>Edward Mitchell</v>
      </c>
      <c r="C101" s="11" t="str">
        <f t="shared" si="13"/>
        <v/>
      </c>
    </row>
    <row r="102" spans="1:3" x14ac:dyDescent="0.35">
      <c r="A102" s="11" t="str">
        <f>IFERROR(INDEX($B$8:$B$57,MATCH(ROWS($A$78:A102),$M$8:$M$57,0)),"")</f>
        <v>Betty Campbell</v>
      </c>
      <c r="B102" s="11" t="str">
        <f>IFERROR(INDEX($B$8:$B$57,MATCH(ROWS($B$78:B102),$N$8:$N$57,0)),"")</f>
        <v>Helen Roberts</v>
      </c>
      <c r="C102" s="11" t="str">
        <f t="shared" si="13"/>
        <v>Betty Campbell</v>
      </c>
    </row>
    <row r="103" spans="1:3" x14ac:dyDescent="0.35">
      <c r="A103" s="11" t="str">
        <f>IFERROR(INDEX($B$8:$B$57,MATCH(ROWS($A$78:A103),$M$8:$M$57,0)),"")</f>
        <v>Edward Mitchell</v>
      </c>
      <c r="B103" s="11" t="str">
        <f>IFERROR(INDEX($B$8:$B$57,MATCH(ROWS($B$78:B103),$N$8:$N$57,0)),"")</f>
        <v>Steven Turner</v>
      </c>
      <c r="C103" s="11" t="str">
        <f t="shared" si="13"/>
        <v>Edward Mitchell</v>
      </c>
    </row>
    <row r="104" spans="1:3" x14ac:dyDescent="0.35">
      <c r="A104" s="11" t="str">
        <f>IFERROR(INDEX($B$8:$B$57,MATCH(ROWS($A$78:A104),$M$8:$M$57,0)),"")</f>
        <v>Helen Roberts</v>
      </c>
      <c r="B104" s="11" t="str">
        <f>IFERROR(INDEX($B$8:$B$57,MATCH(ROWS($B$78:B104),$N$8:$N$57,0)),"")</f>
        <v>Sandra Phillips</v>
      </c>
      <c r="C104" s="11" t="str">
        <f t="shared" si="13"/>
        <v>Helen Roberts</v>
      </c>
    </row>
    <row r="105" spans="1:3" x14ac:dyDescent="0.35">
      <c r="A105" s="11" t="str">
        <f>IFERROR(INDEX($B$8:$B$57,MATCH(ROWS($A$78:A105),$M$8:$M$57,0)),"")</f>
        <v>Steven Turner</v>
      </c>
      <c r="B105" s="11" t="str">
        <f>IFERROR(INDEX($B$8:$B$57,MATCH(ROWS($B$78:B105),$N$8:$N$57,0)),"")</f>
        <v>Frank Torres</v>
      </c>
      <c r="C105" s="11" t="str">
        <f t="shared" si="13"/>
        <v>Steven Turner</v>
      </c>
    </row>
    <row r="106" spans="1:3" x14ac:dyDescent="0.35">
      <c r="A106" s="11" t="str">
        <f>IFERROR(INDEX($B$8:$B$57,MATCH(ROWS($A$78:A106),$M$8:$M$57,0)),"")</f>
        <v>Sandra Phillips</v>
      </c>
      <c r="B106" s="11" t="str">
        <f>IFERROR(INDEX($B$8:$B$57,MATCH(ROWS($B$78:B106),$N$8:$N$57,0)),"")</f>
        <v>Carol Evans</v>
      </c>
      <c r="C106" s="11" t="str">
        <f t="shared" si="13"/>
        <v>Sandra Phillips</v>
      </c>
    </row>
    <row r="107" spans="1:3" x14ac:dyDescent="0.35">
      <c r="A107" s="11" t="str">
        <f>IFERROR(INDEX($B$8:$B$57,MATCH(ROWS($A$78:A107),$M$8:$M$57,0)),"")</f>
        <v>Carol Evans</v>
      </c>
      <c r="B107" s="11" t="str">
        <f>IFERROR(INDEX($B$8:$B$57,MATCH(ROWS($B$78:B107),$N$8:$N$57,0)),"")</f>
        <v>Nancy Collins</v>
      </c>
      <c r="C107" s="11" t="str">
        <f t="shared" si="13"/>
        <v>Carol Evans</v>
      </c>
    </row>
    <row r="108" spans="1:3" x14ac:dyDescent="0.35">
      <c r="A108" s="11" t="str">
        <f>IFERROR(INDEX($B$8:$B$57,MATCH(ROWS($A$78:A108),$M$8:$M$57,0)),"")</f>
        <v>Harry Morgan</v>
      </c>
      <c r="B108" s="11" t="str">
        <f>IFERROR(INDEX($B$8:$B$57,MATCH(ROWS($B$78:B108),$N$8:$N$57,0)),"")</f>
        <v>Arthur Edwards</v>
      </c>
      <c r="C108" s="11" t="str">
        <f t="shared" si="13"/>
        <v/>
      </c>
    </row>
    <row r="109" spans="1:3" x14ac:dyDescent="0.35">
      <c r="A109" s="11" t="str">
        <f>IFERROR(INDEX($B$8:$B$57,MATCH(ROWS($A$78:A109),$M$8:$M$57,0)),"")</f>
        <v>Nancy Collins</v>
      </c>
      <c r="B109" s="11" t="str">
        <f>IFERROR(INDEX($B$8:$B$57,MATCH(ROWS($B$78:B109),$N$8:$N$57,0)),"")</f>
        <v>Lawrence Reed</v>
      </c>
      <c r="C109" s="11" t="str">
        <f t="shared" si="13"/>
        <v>Nancy Collins</v>
      </c>
    </row>
    <row r="110" spans="1:3" x14ac:dyDescent="0.35">
      <c r="A110" s="11" t="str">
        <f>IFERROR(INDEX($B$8:$B$57,MATCH(ROWS($A$78:A110),$M$8:$M$57,0)),"")</f>
        <v>Arthur Edwards</v>
      </c>
      <c r="B110" s="11" t="str">
        <f>IFERROR(INDEX($B$8:$B$57,MATCH(ROWS($B$78:B110),$N$8:$N$57,0)),"")</f>
        <v>Peter Richardson</v>
      </c>
      <c r="C110" s="11" t="str">
        <f t="shared" ref="C110:C127" si="14">IF(A110="","",IF(ISNUMBER(MATCH(A110,$B$78:$B$127,0)),A110,""))</f>
        <v>Arthur Edwards</v>
      </c>
    </row>
    <row r="111" spans="1:3" x14ac:dyDescent="0.35">
      <c r="A111" s="11" t="str">
        <f>IFERROR(INDEX($B$8:$B$57,MATCH(ROWS($A$78:A111),$M$8:$M$57,0)),"")</f>
        <v>Michelle Rogers</v>
      </c>
      <c r="B111" s="11" t="str">
        <f>IFERROR(INDEX($B$8:$B$57,MATCH(ROWS($B$78:B111),$N$8:$N$57,0)),"")</f>
        <v>Ruth Brooks</v>
      </c>
      <c r="C111" s="11" t="str">
        <f t="shared" si="14"/>
        <v/>
      </c>
    </row>
    <row r="112" spans="1:3" x14ac:dyDescent="0.35">
      <c r="A112" s="11" t="str">
        <f>IFERROR(INDEX($B$8:$B$57,MATCH(ROWS($A$78:A112),$M$8:$M$57,0)),"")</f>
        <v>Lawrence Reed</v>
      </c>
      <c r="B112" s="11" t="str">
        <f>IFERROR(INDEX($B$8:$B$57,MATCH(ROWS($B$78:B112),$N$8:$N$57,0)),"")</f>
        <v>Cynthia Price</v>
      </c>
      <c r="C112" s="11" t="str">
        <f t="shared" si="14"/>
        <v>Lawrence Reed</v>
      </c>
    </row>
    <row r="113" spans="1:3" x14ac:dyDescent="0.35">
      <c r="A113" s="11" t="str">
        <f>IFERROR(INDEX($B$8:$B$57,MATCH(ROWS($A$78:A113),$M$8:$M$57,0)),"")</f>
        <v>Sharon Butler</v>
      </c>
      <c r="B113" s="11" t="str">
        <f>IFERROR(INDEX($B$8:$B$57,MATCH(ROWS($B$78:B113),$N$8:$N$57,0)),"")</f>
        <v>Kathleen Bennett</v>
      </c>
      <c r="C113" s="11" t="str">
        <f t="shared" si="14"/>
        <v/>
      </c>
    </row>
    <row r="114" spans="1:3" x14ac:dyDescent="0.35">
      <c r="A114" s="11" t="str">
        <f>IFERROR(INDEX($B$8:$B$57,MATCH(ROWS($A$78:A114),$M$8:$M$57,0)),"")</f>
        <v>Peter Richardson</v>
      </c>
      <c r="B114" s="11" t="str">
        <f>IFERROR(INDEX($B$8:$B$57,MATCH(ROWS($B$78:B114),$N$8:$N$57,0)),"")</f>
        <v>Virginia Sanders</v>
      </c>
      <c r="C114" s="11" t="str">
        <f t="shared" si="14"/>
        <v>Peter Richardson</v>
      </c>
    </row>
    <row r="115" spans="1:3" x14ac:dyDescent="0.35">
      <c r="A115" s="11" t="str">
        <f>IFERROR(INDEX($B$8:$B$57,MATCH(ROWS($A$78:A115),$M$8:$M$57,0)),"")</f>
        <v>Ruth Brooks</v>
      </c>
      <c r="B115" s="11" t="str">
        <f>IFERROR(INDEX($B$8:$B$57,MATCH(ROWS($B$78:B115),$N$8:$N$57,0)),"")</f>
        <v/>
      </c>
      <c r="C115" s="11" t="str">
        <f t="shared" si="14"/>
        <v>Ruth Brooks</v>
      </c>
    </row>
    <row r="116" spans="1:3" x14ac:dyDescent="0.35">
      <c r="A116" s="11" t="str">
        <f>IFERROR(INDEX($B$8:$B$57,MATCH(ROWS($A$78:A116),$M$8:$M$57,0)),"")</f>
        <v>Cynthia Price</v>
      </c>
      <c r="B116" s="11" t="str">
        <f>IFERROR(INDEX($B$8:$B$57,MATCH(ROWS($B$78:B116),$N$8:$N$57,0)),"")</f>
        <v/>
      </c>
      <c r="C116" s="11" t="str">
        <f t="shared" si="14"/>
        <v>Cynthia Price</v>
      </c>
    </row>
    <row r="117" spans="1:3" x14ac:dyDescent="0.35">
      <c r="A117" s="11" t="str">
        <f>IFERROR(INDEX($B$8:$B$57,MATCH(ROWS($A$78:A117),$M$8:$M$57,0)),"")</f>
        <v>Douglas Watson</v>
      </c>
      <c r="B117" s="11" t="str">
        <f>IFERROR(INDEX($B$8:$B$57,MATCH(ROWS($B$78:B117),$N$8:$N$57,0)),"")</f>
        <v/>
      </c>
      <c r="C117" s="11" t="str">
        <f t="shared" si="14"/>
        <v/>
      </c>
    </row>
    <row r="118" spans="1:3" x14ac:dyDescent="0.35">
      <c r="A118" s="11" t="str">
        <f>IFERROR(INDEX($B$8:$B$57,MATCH(ROWS($A$78:A118),$M$8:$M$57,0)),"")</f>
        <v>Kathleen Bennett</v>
      </c>
      <c r="B118" s="11" t="str">
        <f>IFERROR(INDEX($B$8:$B$57,MATCH(ROWS($B$78:B118),$N$8:$N$57,0)),"")</f>
        <v/>
      </c>
      <c r="C118" s="11" t="str">
        <f t="shared" si="14"/>
        <v>Kathleen Bennett</v>
      </c>
    </row>
    <row r="119" spans="1:3" x14ac:dyDescent="0.35">
      <c r="A119" s="11" t="str">
        <f>IFERROR(INDEX($B$8:$B$57,MATCH(ROWS($A$78:A119),$M$8:$M$57,0)),"")</f>
        <v>Gerald Murphy</v>
      </c>
      <c r="B119" s="11" t="str">
        <f>IFERROR(INDEX($B$8:$B$57,MATCH(ROWS($B$78:B119),$N$8:$N$57,0)),"")</f>
        <v/>
      </c>
      <c r="C119" s="11" t="str">
        <f t="shared" si="14"/>
        <v/>
      </c>
    </row>
    <row r="120" spans="1:3" x14ac:dyDescent="0.35">
      <c r="A120" s="11" t="str">
        <f>IFERROR(INDEX($B$8:$B$57,MATCH(ROWS($A$78:A120),$M$8:$M$57,0)),"")</f>
        <v>Virginia Sanders</v>
      </c>
      <c r="B120" s="11" t="str">
        <f>IFERROR(INDEX($B$8:$B$57,MATCH(ROWS($B$78:B120),$N$8:$N$57,0)),"")</f>
        <v/>
      </c>
      <c r="C120" s="11" t="str">
        <f t="shared" si="14"/>
        <v>Virginia Sanders</v>
      </c>
    </row>
    <row r="121" spans="1:3" x14ac:dyDescent="0.35">
      <c r="A121" s="11" t="str">
        <f>IFERROR(INDEX($B$8:$B$57,MATCH(ROWS($A$78:A121),$M$8:$M$57,0)),"")</f>
        <v>Raymond Ross</v>
      </c>
      <c r="B121" s="11" t="str">
        <f>IFERROR(INDEX($B$8:$B$57,MATCH(ROWS($B$78:B121),$N$8:$N$57,0)),"")</f>
        <v/>
      </c>
      <c r="C121" s="11" t="str">
        <f t="shared" si="14"/>
        <v/>
      </c>
    </row>
    <row r="122" spans="1:3" x14ac:dyDescent="0.35">
      <c r="A122" s="11" t="str">
        <f>IFERROR(INDEX($B$8:$B$57,MATCH(ROWS($A$78:A122),$M$8:$M$57,0)),"")</f>
        <v/>
      </c>
      <c r="B122" s="11" t="str">
        <f>IFERROR(INDEX($B$8:$B$57,MATCH(ROWS($B$78:B122),$N$8:$N$57,0)),"")</f>
        <v/>
      </c>
      <c r="C122" s="11" t="str">
        <f t="shared" si="14"/>
        <v/>
      </c>
    </row>
    <row r="123" spans="1:3" x14ac:dyDescent="0.35">
      <c r="A123" s="11" t="str">
        <f>IFERROR(INDEX($B$8:$B$57,MATCH(ROWS($A$78:A123),$M$8:$M$57,0)),"")</f>
        <v/>
      </c>
      <c r="B123" s="11" t="str">
        <f>IFERROR(INDEX($B$8:$B$57,MATCH(ROWS($B$78:B123),$N$8:$N$57,0)),"")</f>
        <v/>
      </c>
      <c r="C123" s="11" t="str">
        <f t="shared" si="14"/>
        <v/>
      </c>
    </row>
    <row r="124" spans="1:3" x14ac:dyDescent="0.35">
      <c r="A124" s="11" t="str">
        <f>IFERROR(INDEX($B$8:$B$57,MATCH(ROWS($A$78:A124),$M$8:$M$57,0)),"")</f>
        <v/>
      </c>
      <c r="B124" s="11" t="str">
        <f>IFERROR(INDEX($B$8:$B$57,MATCH(ROWS($B$78:B124),$N$8:$N$57,0)),"")</f>
        <v/>
      </c>
      <c r="C124" s="11" t="str">
        <f t="shared" si="14"/>
        <v/>
      </c>
    </row>
    <row r="125" spans="1:3" x14ac:dyDescent="0.35">
      <c r="A125" s="11" t="str">
        <f>IFERROR(INDEX($B$8:$B$57,MATCH(ROWS($A$78:A125),$M$8:$M$57,0)),"")</f>
        <v/>
      </c>
      <c r="B125" s="11" t="str">
        <f>IFERROR(INDEX($B$8:$B$57,MATCH(ROWS($B$78:B125),$N$8:$N$57,0)),"")</f>
        <v/>
      </c>
      <c r="C125" s="11" t="str">
        <f t="shared" si="14"/>
        <v/>
      </c>
    </row>
    <row r="126" spans="1:3" x14ac:dyDescent="0.35">
      <c r="A126" s="11" t="str">
        <f>IFERROR(INDEX($B$8:$B$57,MATCH(ROWS($A$78:A126),$M$8:$M$57,0)),"")</f>
        <v/>
      </c>
      <c r="B126" s="11" t="str">
        <f>IFERROR(INDEX($B$8:$B$57,MATCH(ROWS($B$78:B126),$N$8:$N$57,0)),"")</f>
        <v/>
      </c>
      <c r="C126" s="11" t="str">
        <f t="shared" si="14"/>
        <v/>
      </c>
    </row>
    <row r="127" spans="1:3" x14ac:dyDescent="0.35">
      <c r="A127" s="11" t="str">
        <f>IFERROR(INDEX($B$8:$B$57,MATCH(ROWS($A$78:A127),$M$8:$M$57,0)),"")</f>
        <v/>
      </c>
      <c r="B127" s="11" t="str">
        <f>IFERROR(INDEX($B$8:$B$57,MATCH(ROWS($B$78:B127),$N$8:$N$57,0)),"")</f>
        <v/>
      </c>
      <c r="C127" s="11" t="str">
        <f t="shared" si="14"/>
        <v/>
      </c>
    </row>
  </sheetData>
  <mergeCells count="2">
    <mergeCell ref="A2:N2"/>
    <mergeCell ref="A1:N1"/>
  </mergeCells>
  <conditionalFormatting sqref="G8:G57">
    <cfRule type="dataBar" priority="2">
      <dataBar>
        <cfvo type="min"/>
        <cfvo type="max"/>
        <color rgb="FF5B9BD5"/>
      </dataBar>
    </cfRule>
  </conditionalFormatting>
  <conditionalFormatting sqref="J8:J57">
    <cfRule type="cellIs" dxfId="1" priority="1" operator="equal">
      <formula>"High-Value"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"/>
  <sheetViews>
    <sheetView showGridLines="0" workbookViewId="0">
      <selection activeCell="A95" sqref="A95"/>
    </sheetView>
  </sheetViews>
  <sheetFormatPr defaultRowHeight="14.5" x14ac:dyDescent="0.35"/>
  <cols>
    <col min="1" max="1" width="44" customWidth="1"/>
    <col min="2" max="2" width="24" customWidth="1"/>
    <col min="3" max="3" width="26" customWidth="1"/>
    <col min="4" max="4" width="16" customWidth="1"/>
    <col min="5" max="5" width="12" customWidth="1"/>
    <col min="6" max="6" width="10" customWidth="1"/>
    <col min="7" max="7" width="16" customWidth="1"/>
  </cols>
  <sheetData>
    <row r="1" spans="1:7" ht="28" customHeight="1" x14ac:dyDescent="0.35">
      <c r="A1" s="43" t="s">
        <v>469</v>
      </c>
      <c r="B1" s="44"/>
      <c r="C1" s="44"/>
      <c r="D1" s="44"/>
      <c r="E1" s="44"/>
      <c r="F1" s="44"/>
      <c r="G1" s="44"/>
    </row>
    <row r="3" spans="1:7" ht="15.5" x14ac:dyDescent="0.35">
      <c r="A3" s="45" t="s">
        <v>470</v>
      </c>
      <c r="B3" s="46"/>
      <c r="C3" s="46"/>
      <c r="D3" s="46"/>
      <c r="E3" s="46"/>
      <c r="F3" s="46"/>
      <c r="G3" s="46"/>
    </row>
    <row r="4" spans="1:7" x14ac:dyDescent="0.35">
      <c r="A4" s="49" t="s">
        <v>471</v>
      </c>
      <c r="B4" s="49" t="s">
        <v>472</v>
      </c>
      <c r="C4" s="49" t="s">
        <v>473</v>
      </c>
    </row>
    <row r="5" spans="1:7" x14ac:dyDescent="0.35">
      <c r="A5" s="11" t="s">
        <v>474</v>
      </c>
      <c r="B5" s="21">
        <f ca="1">TODAY()</f>
        <v>46324</v>
      </c>
      <c r="C5" s="11" t="s">
        <v>475</v>
      </c>
    </row>
    <row r="6" spans="1:7" x14ac:dyDescent="0.35">
      <c r="A6" s="11" t="s">
        <v>476</v>
      </c>
      <c r="B6" s="22">
        <f ca="1">NOW()</f>
        <v>46324.949265277777</v>
      </c>
      <c r="C6" s="11" t="s">
        <v>477</v>
      </c>
    </row>
    <row r="7" spans="1:7" x14ac:dyDescent="0.35">
      <c r="A7" s="11" t="s">
        <v>478</v>
      </c>
      <c r="B7" s="21">
        <f>MIN('Raw Data'!$B$2:$B$251)</f>
        <v>45393</v>
      </c>
      <c r="C7" s="11" t="s">
        <v>479</v>
      </c>
    </row>
    <row r="8" spans="1:7" x14ac:dyDescent="0.35">
      <c r="A8" s="11" t="s">
        <v>480</v>
      </c>
      <c r="B8" s="21">
        <f>MAX('Raw Data'!$B$2:$B$251)</f>
        <v>45758</v>
      </c>
      <c r="C8" s="11" t="s">
        <v>481</v>
      </c>
    </row>
    <row r="9" spans="1:7" x14ac:dyDescent="0.35">
      <c r="A9" s="11" t="s">
        <v>482</v>
      </c>
      <c r="B9" s="17">
        <f>DATEDIF(B7,B8,"Y")</f>
        <v>1</v>
      </c>
      <c r="C9" s="11" t="s">
        <v>483</v>
      </c>
    </row>
    <row r="10" spans="1:7" x14ac:dyDescent="0.35">
      <c r="A10" s="11" t="s">
        <v>484</v>
      </c>
      <c r="B10" s="17">
        <f>DATEDIF(B7,B8,"M")</f>
        <v>12</v>
      </c>
      <c r="C10" s="11" t="s">
        <v>485</v>
      </c>
    </row>
    <row r="11" spans="1:7" x14ac:dyDescent="0.35">
      <c r="A11" s="11" t="s">
        <v>486</v>
      </c>
      <c r="B11" s="17">
        <f>DATEDIF(B7,B8,"D")</f>
        <v>365</v>
      </c>
      <c r="C11" s="11" t="s">
        <v>487</v>
      </c>
    </row>
    <row r="12" spans="1:7" x14ac:dyDescent="0.35">
      <c r="A12" s="11" t="s">
        <v>488</v>
      </c>
      <c r="B12" s="17">
        <f ca="1">DATEDIF(MIN('Raw Data'!$M$2:$M$251),TODAY(),"Y")</f>
        <v>5</v>
      </c>
      <c r="C12" s="11" t="s">
        <v>489</v>
      </c>
    </row>
    <row r="13" spans="1:7" x14ac:dyDescent="0.35">
      <c r="A13" s="11" t="s">
        <v>490</v>
      </c>
      <c r="B13" s="21">
        <f>EOMONTH(B8,0)</f>
        <v>45777</v>
      </c>
      <c r="C13" s="11" t="s">
        <v>491</v>
      </c>
    </row>
    <row r="14" spans="1:7" x14ac:dyDescent="0.35">
      <c r="A14" s="11" t="s">
        <v>492</v>
      </c>
      <c r="B14" s="21">
        <f ca="1">EOMONTH(TODAY(),0)</f>
        <v>46326</v>
      </c>
      <c r="C14" s="11" t="s">
        <v>493</v>
      </c>
    </row>
    <row r="15" spans="1:7" x14ac:dyDescent="0.35">
      <c r="A15" s="11" t="s">
        <v>494</v>
      </c>
      <c r="B15" s="17">
        <f ca="1">B14-B5</f>
        <v>2</v>
      </c>
      <c r="C15" s="11" t="s">
        <v>495</v>
      </c>
    </row>
    <row r="16" spans="1:7" x14ac:dyDescent="0.35">
      <c r="A16" s="11" t="s">
        <v>496</v>
      </c>
      <c r="B16" s="17">
        <f ca="1">TODAY()-B8</f>
        <v>566</v>
      </c>
      <c r="C16" s="11" t="s">
        <v>497</v>
      </c>
    </row>
    <row r="19" spans="1:7" ht="15.5" x14ac:dyDescent="0.35">
      <c r="A19" s="45" t="s">
        <v>498</v>
      </c>
      <c r="B19" s="46"/>
      <c r="C19" s="46"/>
      <c r="D19" s="46"/>
      <c r="E19" s="46"/>
      <c r="F19" s="46"/>
      <c r="G19" s="46"/>
    </row>
    <row r="20" spans="1:7" x14ac:dyDescent="0.35">
      <c r="A20" s="19"/>
    </row>
    <row r="21" spans="1:7" x14ac:dyDescent="0.35">
      <c r="A21" s="8" t="s">
        <v>499</v>
      </c>
      <c r="C21" s="23" t="s">
        <v>47</v>
      </c>
    </row>
    <row r="22" spans="1:7" x14ac:dyDescent="0.35">
      <c r="A22" s="8" t="s">
        <v>500</v>
      </c>
      <c r="C22" s="24">
        <v>1000</v>
      </c>
    </row>
    <row r="23" spans="1:7" x14ac:dyDescent="0.35">
      <c r="A23" s="8" t="s">
        <v>501</v>
      </c>
      <c r="C23" s="15">
        <f>MAX('Raw Data'!$U$2:$U$251)</f>
        <v>14</v>
      </c>
    </row>
    <row r="24" spans="1:7" x14ac:dyDescent="0.35">
      <c r="A24" s="25"/>
    </row>
    <row r="26" spans="1:7" x14ac:dyDescent="0.35">
      <c r="A26" s="49" t="s">
        <v>0</v>
      </c>
      <c r="B26" s="49" t="s">
        <v>1</v>
      </c>
      <c r="C26" s="49" t="s">
        <v>3</v>
      </c>
      <c r="D26" s="49" t="s">
        <v>5</v>
      </c>
      <c r="E26" s="49" t="s">
        <v>10</v>
      </c>
      <c r="F26" s="49" t="s">
        <v>7</v>
      </c>
      <c r="G26" s="49" t="s">
        <v>13</v>
      </c>
    </row>
    <row r="27" spans="1:7" x14ac:dyDescent="0.35">
      <c r="A27" s="11" t="str">
        <f>IFERROR(INDEX('Raw Data'!$A$2:$A$251,MATCH(ROWS($A$27:$A27),'Raw Data'!$U$2:$U$251,0)),"")</f>
        <v>TRX0134</v>
      </c>
      <c r="B27" s="21">
        <f>IFERROR(INDEX('Raw Data'!$B$2:$B$251,MATCH(ROWS($A$27:$A27),'Raw Data'!$U$2:$U$251,0)),"")</f>
        <v>45410</v>
      </c>
      <c r="C27" s="11" t="str">
        <f>IFERROR(INDEX('Raw Data'!$D$2:$D$251,MATCH(ROWS($A$27:$A27),'Raw Data'!$U$2:$U$251,0)),"")</f>
        <v>Maria Garcia</v>
      </c>
      <c r="D27" s="11" t="str">
        <f>IFERROR(INDEX('Raw Data'!$F$2:$F$251,MATCH(ROWS($A$27:$A27),'Raw Data'!$U$2:$U$251,0)),"")</f>
        <v>Smartphone</v>
      </c>
      <c r="E27" s="11" t="str">
        <f>IFERROR(INDEX('Raw Data'!$K$2:$K$251,MATCH(ROWS($A$27:$A27),'Raw Data'!$U$2:$U$251,0)),"")</f>
        <v>North</v>
      </c>
      <c r="F27" s="17">
        <f>IFERROR(INDEX('Raw Data'!$H$2:$H$251,MATCH(ROWS($A$27:$A27),'Raw Data'!$U$2:$U$251,0)),"")</f>
        <v>2</v>
      </c>
      <c r="G27" s="9">
        <f>IFERROR(INDEX('Raw Data'!$N$2:$N$251,MATCH(ROWS($A$27:$A27),'Raw Data'!$U$2:$U$251,0)),"")</f>
        <v>1399.98</v>
      </c>
    </row>
    <row r="28" spans="1:7" x14ac:dyDescent="0.35">
      <c r="A28" s="11" t="str">
        <f>IFERROR(INDEX('Raw Data'!$A$2:$A$251,MATCH(ROWS($A$27:$A28),'Raw Data'!$U$2:$U$251,0)),"")</f>
        <v>TRX0217</v>
      </c>
      <c r="B28" s="21">
        <f>IFERROR(INDEX('Raw Data'!$B$2:$B$251,MATCH(ROWS($A$27:$A28),'Raw Data'!$U$2:$U$251,0)),"")</f>
        <v>45503</v>
      </c>
      <c r="C28" s="11" t="str">
        <f>IFERROR(INDEX('Raw Data'!$D$2:$D$251,MATCH(ROWS($A$27:$A28),'Raw Data'!$U$2:$U$251,0)),"")</f>
        <v>Mark Carter</v>
      </c>
      <c r="D28" s="11" t="str">
        <f>IFERROR(INDEX('Raw Data'!$F$2:$F$251,MATCH(ROWS($A$27:$A28),'Raw Data'!$U$2:$U$251,0)),"")</f>
        <v>Smartphone</v>
      </c>
      <c r="E28" s="11" t="str">
        <f>IFERROR(INDEX('Raw Data'!$K$2:$K$251,MATCH(ROWS($A$27:$A28),'Raw Data'!$U$2:$U$251,0)),"")</f>
        <v>North</v>
      </c>
      <c r="F28" s="17">
        <f>IFERROR(INDEX('Raw Data'!$H$2:$H$251,MATCH(ROWS($A$27:$A28),'Raw Data'!$U$2:$U$251,0)),"")</f>
        <v>2</v>
      </c>
      <c r="G28" s="9">
        <f>IFERROR(INDEX('Raw Data'!$N$2:$N$251,MATCH(ROWS($A$27:$A28),'Raw Data'!$U$2:$U$251,0)),"")</f>
        <v>1399.98</v>
      </c>
    </row>
    <row r="29" spans="1:7" x14ac:dyDescent="0.35">
      <c r="A29" s="11" t="str">
        <f>IFERROR(INDEX('Raw Data'!$A$2:$A$251,MATCH(ROWS($A$27:$A29),'Raw Data'!$U$2:$U$251,0)),"")</f>
        <v>TRX0205</v>
      </c>
      <c r="B29" s="21">
        <f>IFERROR(INDEX('Raw Data'!$B$2:$B$251,MATCH(ROWS($A$27:$A29),'Raw Data'!$U$2:$U$251,0)),"")</f>
        <v>45515</v>
      </c>
      <c r="C29" s="11" t="str">
        <f>IFERROR(INDEX('Raw Data'!$D$2:$D$251,MATCH(ROWS($A$27:$A29),'Raw Data'!$U$2:$U$251,0)),"")</f>
        <v>Mark Carter</v>
      </c>
      <c r="D29" s="11" t="str">
        <f>IFERROR(INDEX('Raw Data'!$F$2:$F$251,MATCH(ROWS($A$27:$A29),'Raw Data'!$U$2:$U$251,0)),"")</f>
        <v>Desk</v>
      </c>
      <c r="E29" s="11" t="str">
        <f>IFERROR(INDEX('Raw Data'!$K$2:$K$251,MATCH(ROWS($A$27:$A29),'Raw Data'!$U$2:$U$251,0)),"")</f>
        <v>North</v>
      </c>
      <c r="F29" s="17">
        <f>IFERROR(INDEX('Raw Data'!$H$2:$H$251,MATCH(ROWS($A$27:$A29),'Raw Data'!$U$2:$U$251,0)),"")</f>
        <v>5</v>
      </c>
      <c r="G29" s="9">
        <f>IFERROR(INDEX('Raw Data'!$N$2:$N$251,MATCH(ROWS($A$27:$A29),'Raw Data'!$U$2:$U$251,0)),"")</f>
        <v>1499.95</v>
      </c>
    </row>
    <row r="30" spans="1:7" x14ac:dyDescent="0.35">
      <c r="A30" s="11" t="str">
        <f>IFERROR(INDEX('Raw Data'!$A$2:$A$251,MATCH(ROWS($A$27:$A30),'Raw Data'!$U$2:$U$251,0)),"")</f>
        <v>TRX0248</v>
      </c>
      <c r="B30" s="21">
        <f>IFERROR(INDEX('Raw Data'!$B$2:$B$251,MATCH(ROWS($A$27:$A30),'Raw Data'!$U$2:$U$251,0)),"")</f>
        <v>45534</v>
      </c>
      <c r="C30" s="11" t="str">
        <f>IFERROR(INDEX('Raw Data'!$D$2:$D$251,MATCH(ROWS($A$27:$A30),'Raw Data'!$U$2:$U$251,0)),"")</f>
        <v>Sandra Phillips</v>
      </c>
      <c r="D30" s="11" t="str">
        <f>IFERROR(INDEX('Raw Data'!$F$2:$F$251,MATCH(ROWS($A$27:$A30),'Raw Data'!$U$2:$U$251,0)),"")</f>
        <v>Smartphone</v>
      </c>
      <c r="E30" s="11" t="str">
        <f>IFERROR(INDEX('Raw Data'!$K$2:$K$251,MATCH(ROWS($A$27:$A30),'Raw Data'!$U$2:$U$251,0)),"")</f>
        <v>North</v>
      </c>
      <c r="F30" s="17">
        <f>IFERROR(INDEX('Raw Data'!$H$2:$H$251,MATCH(ROWS($A$27:$A30),'Raw Data'!$U$2:$U$251,0)),"")</f>
        <v>2</v>
      </c>
      <c r="G30" s="9">
        <f>IFERROR(INDEX('Raw Data'!$N$2:$N$251,MATCH(ROWS($A$27:$A30),'Raw Data'!$U$2:$U$251,0)),"")</f>
        <v>1399.98</v>
      </c>
    </row>
    <row r="31" spans="1:7" x14ac:dyDescent="0.35">
      <c r="A31" s="11" t="str">
        <f>IFERROR(INDEX('Raw Data'!$A$2:$A$251,MATCH(ROWS($A$27:$A31),'Raw Data'!$U$2:$U$251,0)),"")</f>
        <v>TRX0177</v>
      </c>
      <c r="B31" s="21">
        <f>IFERROR(INDEX('Raw Data'!$B$2:$B$251,MATCH(ROWS($A$27:$A31),'Raw Data'!$U$2:$U$251,0)),"")</f>
        <v>45559</v>
      </c>
      <c r="C31" s="11" t="str">
        <f>IFERROR(INDEX('Raw Data'!$D$2:$D$251,MATCH(ROWS($A$27:$A31),'Raw Data'!$U$2:$U$251,0)),"")</f>
        <v>Sandra Phillips</v>
      </c>
      <c r="D31" s="11" t="str">
        <f>IFERROR(INDEX('Raw Data'!$F$2:$F$251,MATCH(ROWS($A$27:$A31),'Raw Data'!$U$2:$U$251,0)),"")</f>
        <v>Laptop</v>
      </c>
      <c r="E31" s="11" t="str">
        <f>IFERROR(INDEX('Raw Data'!$K$2:$K$251,MATCH(ROWS($A$27:$A31),'Raw Data'!$U$2:$U$251,0)),"")</f>
        <v>North</v>
      </c>
      <c r="F31" s="17">
        <f>IFERROR(INDEX('Raw Data'!$H$2:$H$251,MATCH(ROWS($A$27:$A31),'Raw Data'!$U$2:$U$251,0)),"")</f>
        <v>3</v>
      </c>
      <c r="G31" s="9">
        <f>IFERROR(INDEX('Raw Data'!$N$2:$N$251,MATCH(ROWS($A$27:$A31),'Raw Data'!$U$2:$U$251,0)),"")</f>
        <v>2699.97</v>
      </c>
    </row>
    <row r="32" spans="1:7" x14ac:dyDescent="0.35">
      <c r="A32" s="11" t="str">
        <f>IFERROR(INDEX('Raw Data'!$A$2:$A$251,MATCH(ROWS($A$27:$A32),'Raw Data'!$U$2:$U$251,0)),"")</f>
        <v>TRX0167</v>
      </c>
      <c r="B32" s="21">
        <f>IFERROR(INDEX('Raw Data'!$B$2:$B$251,MATCH(ROWS($A$27:$A32),'Raw Data'!$U$2:$U$251,0)),"")</f>
        <v>45589</v>
      </c>
      <c r="C32" s="11" t="str">
        <f>IFERROR(INDEX('Raw Data'!$D$2:$D$251,MATCH(ROWS($A$27:$A32),'Raw Data'!$U$2:$U$251,0)),"")</f>
        <v>Betty Campbell</v>
      </c>
      <c r="D32" s="11" t="str">
        <f>IFERROR(INDEX('Raw Data'!$F$2:$F$251,MATCH(ROWS($A$27:$A32),'Raw Data'!$U$2:$U$251,0)),"")</f>
        <v>Smartphone</v>
      </c>
      <c r="E32" s="11" t="str">
        <f>IFERROR(INDEX('Raw Data'!$K$2:$K$251,MATCH(ROWS($A$27:$A32),'Raw Data'!$U$2:$U$251,0)),"")</f>
        <v>North</v>
      </c>
      <c r="F32" s="17">
        <f>IFERROR(INDEX('Raw Data'!$H$2:$H$251,MATCH(ROWS($A$27:$A32),'Raw Data'!$U$2:$U$251,0)),"")</f>
        <v>5</v>
      </c>
      <c r="G32" s="9">
        <f>IFERROR(INDEX('Raw Data'!$N$2:$N$251,MATCH(ROWS($A$27:$A32),'Raw Data'!$U$2:$U$251,0)),"")</f>
        <v>3499.95</v>
      </c>
    </row>
    <row r="33" spans="1:7" x14ac:dyDescent="0.35">
      <c r="A33" s="11" t="str">
        <f>IFERROR(INDEX('Raw Data'!$A$2:$A$251,MATCH(ROWS($A$27:$A33),'Raw Data'!$U$2:$U$251,0)),"")</f>
        <v>TRX0012</v>
      </c>
      <c r="B33" s="21">
        <f>IFERROR(INDEX('Raw Data'!$B$2:$B$251,MATCH(ROWS($A$27:$A33),'Raw Data'!$U$2:$U$251,0)),"")</f>
        <v>45622</v>
      </c>
      <c r="C33" s="11" t="str">
        <f>IFERROR(INDEX('Raw Data'!$D$2:$D$251,MATCH(ROWS($A$27:$A33),'Raw Data'!$U$2:$U$251,0)),"")</f>
        <v>Douglas Watson</v>
      </c>
      <c r="D33" s="11" t="str">
        <f>IFERROR(INDEX('Raw Data'!$F$2:$F$251,MATCH(ROWS($A$27:$A33),'Raw Data'!$U$2:$U$251,0)),"")</f>
        <v>Monitor</v>
      </c>
      <c r="E33" s="11" t="str">
        <f>IFERROR(INDEX('Raw Data'!$K$2:$K$251,MATCH(ROWS($A$27:$A33),'Raw Data'!$U$2:$U$251,0)),"")</f>
        <v>North</v>
      </c>
      <c r="F33" s="17">
        <f>IFERROR(INDEX('Raw Data'!$H$2:$H$251,MATCH(ROWS($A$27:$A33),'Raw Data'!$U$2:$U$251,0)),"")</f>
        <v>5</v>
      </c>
      <c r="G33" s="9">
        <f>IFERROR(INDEX('Raw Data'!$N$2:$N$251,MATCH(ROWS($A$27:$A33),'Raw Data'!$U$2:$U$251,0)),"")</f>
        <v>1249.95</v>
      </c>
    </row>
    <row r="34" spans="1:7" x14ac:dyDescent="0.35">
      <c r="A34" s="11" t="str">
        <f>IFERROR(INDEX('Raw Data'!$A$2:$A$251,MATCH(ROWS($A$27:$A34),'Raw Data'!$U$2:$U$251,0)),"")</f>
        <v>TRX0066</v>
      </c>
      <c r="B34" s="21">
        <f>IFERROR(INDEX('Raw Data'!$B$2:$B$251,MATCH(ROWS($A$27:$A34),'Raw Data'!$U$2:$U$251,0)),"")</f>
        <v>45630</v>
      </c>
      <c r="C34" s="11" t="str">
        <f>IFERROR(INDEX('Raw Data'!$D$2:$D$251,MATCH(ROWS($A$27:$A34),'Raw Data'!$U$2:$U$251,0)),"")</f>
        <v>Dorothy Nelson</v>
      </c>
      <c r="D34" s="11" t="str">
        <f>IFERROR(INDEX('Raw Data'!$F$2:$F$251,MATCH(ROWS($A$27:$A34),'Raw Data'!$U$2:$U$251,0)),"")</f>
        <v>Smartphone</v>
      </c>
      <c r="E34" s="11" t="str">
        <f>IFERROR(INDEX('Raw Data'!$K$2:$K$251,MATCH(ROWS($A$27:$A34),'Raw Data'!$U$2:$U$251,0)),"")</f>
        <v>North</v>
      </c>
      <c r="F34" s="17">
        <f>IFERROR(INDEX('Raw Data'!$H$2:$H$251,MATCH(ROWS($A$27:$A34),'Raw Data'!$U$2:$U$251,0)),"")</f>
        <v>4</v>
      </c>
      <c r="G34" s="9">
        <f>IFERROR(INDEX('Raw Data'!$N$2:$N$251,MATCH(ROWS($A$27:$A34),'Raw Data'!$U$2:$U$251,0)),"")</f>
        <v>2799.96</v>
      </c>
    </row>
    <row r="35" spans="1:7" x14ac:dyDescent="0.35">
      <c r="A35" s="11" t="str">
        <f>IFERROR(INDEX('Raw Data'!$A$2:$A$251,MATCH(ROWS($A$27:$A35),'Raw Data'!$U$2:$U$251,0)),"")</f>
        <v>TRX0032</v>
      </c>
      <c r="B35" s="21">
        <f>IFERROR(INDEX('Raw Data'!$B$2:$B$251,MATCH(ROWS($A$27:$A35),'Raw Data'!$U$2:$U$251,0)),"")</f>
        <v>45638</v>
      </c>
      <c r="C35" s="11" t="str">
        <f>IFERROR(INDEX('Raw Data'!$D$2:$D$251,MATCH(ROWS($A$27:$A35),'Raw Data'!$U$2:$U$251,0)),"")</f>
        <v>Peter Richardson</v>
      </c>
      <c r="D35" s="11" t="str">
        <f>IFERROR(INDEX('Raw Data'!$F$2:$F$251,MATCH(ROWS($A$27:$A35),'Raw Data'!$U$2:$U$251,0)),"")</f>
        <v>Laptop</v>
      </c>
      <c r="E35" s="11" t="str">
        <f>IFERROR(INDEX('Raw Data'!$K$2:$K$251,MATCH(ROWS($A$27:$A35),'Raw Data'!$U$2:$U$251,0)),"")</f>
        <v>North</v>
      </c>
      <c r="F35" s="17">
        <f>IFERROR(INDEX('Raw Data'!$H$2:$H$251,MATCH(ROWS($A$27:$A35),'Raw Data'!$U$2:$U$251,0)),"")</f>
        <v>2</v>
      </c>
      <c r="G35" s="9">
        <f>IFERROR(INDEX('Raw Data'!$N$2:$N$251,MATCH(ROWS($A$27:$A35),'Raw Data'!$U$2:$U$251,0)),"")</f>
        <v>1799.98</v>
      </c>
    </row>
    <row r="36" spans="1:7" x14ac:dyDescent="0.35">
      <c r="A36" s="11" t="str">
        <f>IFERROR(INDEX('Raw Data'!$A$2:$A$251,MATCH(ROWS($A$27:$A36),'Raw Data'!$U$2:$U$251,0)),"")</f>
        <v>TRX0238</v>
      </c>
      <c r="B36" s="21">
        <f>IFERROR(INDEX('Raw Data'!$B$2:$B$251,MATCH(ROWS($A$27:$A36),'Raw Data'!$U$2:$U$251,0)),"")</f>
        <v>45668</v>
      </c>
      <c r="C36" s="11" t="str">
        <f>IFERROR(INDEX('Raw Data'!$D$2:$D$251,MATCH(ROWS($A$27:$A36),'Raw Data'!$U$2:$U$251,0)),"")</f>
        <v>Michelle Rogers</v>
      </c>
      <c r="D36" s="11" t="str">
        <f>IFERROR(INDEX('Raw Data'!$F$2:$F$251,MATCH(ROWS($A$27:$A36),'Raw Data'!$U$2:$U$251,0)),"")</f>
        <v>Smartphone</v>
      </c>
      <c r="E36" s="11" t="str">
        <f>IFERROR(INDEX('Raw Data'!$K$2:$K$251,MATCH(ROWS($A$27:$A36),'Raw Data'!$U$2:$U$251,0)),"")</f>
        <v>North</v>
      </c>
      <c r="F36" s="17">
        <f>IFERROR(INDEX('Raw Data'!$H$2:$H$251,MATCH(ROWS($A$27:$A36),'Raw Data'!$U$2:$U$251,0)),"")</f>
        <v>3</v>
      </c>
      <c r="G36" s="9">
        <f>IFERROR(INDEX('Raw Data'!$N$2:$N$251,MATCH(ROWS($A$27:$A36),'Raw Data'!$U$2:$U$251,0)),"")</f>
        <v>2099.9699999999998</v>
      </c>
    </row>
    <row r="37" spans="1:7" x14ac:dyDescent="0.35">
      <c r="A37" s="11" t="str">
        <f>IFERROR(INDEX('Raw Data'!$A$2:$A$251,MATCH(ROWS($A$27:$A37),'Raw Data'!$U$2:$U$251,0)),"")</f>
        <v>TRX0013</v>
      </c>
      <c r="B37" s="21">
        <f>IFERROR(INDEX('Raw Data'!$B$2:$B$251,MATCH(ROWS($A$27:$A37),'Raw Data'!$U$2:$U$251,0)),"")</f>
        <v>45737</v>
      </c>
      <c r="C37" s="11" t="str">
        <f>IFERROR(INDEX('Raw Data'!$D$2:$D$251,MATCH(ROWS($A$27:$A37),'Raw Data'!$U$2:$U$251,0)),"")</f>
        <v>Dorothy Nelson</v>
      </c>
      <c r="D37" s="11" t="str">
        <f>IFERROR(INDEX('Raw Data'!$F$2:$F$251,MATCH(ROWS($A$27:$A37),'Raw Data'!$U$2:$U$251,0)),"")</f>
        <v>Laptop</v>
      </c>
      <c r="E37" s="11" t="str">
        <f>IFERROR(INDEX('Raw Data'!$K$2:$K$251,MATCH(ROWS($A$27:$A37),'Raw Data'!$U$2:$U$251,0)),"")</f>
        <v>North</v>
      </c>
      <c r="F37" s="17">
        <f>IFERROR(INDEX('Raw Data'!$H$2:$H$251,MATCH(ROWS($A$27:$A37),'Raw Data'!$U$2:$U$251,0)),"")</f>
        <v>3</v>
      </c>
      <c r="G37" s="9">
        <f>IFERROR(INDEX('Raw Data'!$N$2:$N$251,MATCH(ROWS($A$27:$A37),'Raw Data'!$U$2:$U$251,0)),"")</f>
        <v>2699.97</v>
      </c>
    </row>
    <row r="38" spans="1:7" x14ac:dyDescent="0.35">
      <c r="A38" s="11" t="str">
        <f>IFERROR(INDEX('Raw Data'!$A$2:$A$251,MATCH(ROWS($A$27:$A38),'Raw Data'!$U$2:$U$251,0)),"")</f>
        <v>TRX0124</v>
      </c>
      <c r="B38" s="21">
        <f>IFERROR(INDEX('Raw Data'!$B$2:$B$251,MATCH(ROWS($A$27:$A38),'Raw Data'!$U$2:$U$251,0)),"")</f>
        <v>45737</v>
      </c>
      <c r="C38" s="11" t="str">
        <f>IFERROR(INDEX('Raw Data'!$D$2:$D$251,MATCH(ROWS($A$27:$A38),'Raw Data'!$U$2:$U$251,0)),"")</f>
        <v>Sharon Butler</v>
      </c>
      <c r="D38" s="11" t="str">
        <f>IFERROR(INDEX('Raw Data'!$F$2:$F$251,MATCH(ROWS($A$27:$A38),'Raw Data'!$U$2:$U$251,0)),"")</f>
        <v>Laptop</v>
      </c>
      <c r="E38" s="11" t="str">
        <f>IFERROR(INDEX('Raw Data'!$K$2:$K$251,MATCH(ROWS($A$27:$A38),'Raw Data'!$U$2:$U$251,0)),"")</f>
        <v>North</v>
      </c>
      <c r="F38" s="17">
        <f>IFERROR(INDEX('Raw Data'!$H$2:$H$251,MATCH(ROWS($A$27:$A38),'Raw Data'!$U$2:$U$251,0)),"")</f>
        <v>3</v>
      </c>
      <c r="G38" s="9">
        <f>IFERROR(INDEX('Raw Data'!$N$2:$N$251,MATCH(ROWS($A$27:$A38),'Raw Data'!$U$2:$U$251,0)),"")</f>
        <v>2699.97</v>
      </c>
    </row>
    <row r="39" spans="1:7" x14ac:dyDescent="0.35">
      <c r="A39" s="11" t="str">
        <f>IFERROR(INDEX('Raw Data'!$A$2:$A$251,MATCH(ROWS($A$27:$A39),'Raw Data'!$U$2:$U$251,0)),"")</f>
        <v>TRX0068</v>
      </c>
      <c r="B39" s="21">
        <f>IFERROR(INDEX('Raw Data'!$B$2:$B$251,MATCH(ROWS($A$27:$A39),'Raw Data'!$U$2:$U$251,0)),"")</f>
        <v>45748</v>
      </c>
      <c r="C39" s="11" t="str">
        <f>IFERROR(INDEX('Raw Data'!$D$2:$D$251,MATCH(ROWS($A$27:$A39),'Raw Data'!$U$2:$U$251,0)),"")</f>
        <v>Cynthia Price</v>
      </c>
      <c r="D39" s="11" t="str">
        <f>IFERROR(INDEX('Raw Data'!$F$2:$F$251,MATCH(ROWS($A$27:$A39),'Raw Data'!$U$2:$U$251,0)),"")</f>
        <v>Smartphone</v>
      </c>
      <c r="E39" s="11" t="str">
        <f>IFERROR(INDEX('Raw Data'!$K$2:$K$251,MATCH(ROWS($A$27:$A39),'Raw Data'!$U$2:$U$251,0)),"")</f>
        <v>North</v>
      </c>
      <c r="F39" s="17">
        <f>IFERROR(INDEX('Raw Data'!$H$2:$H$251,MATCH(ROWS($A$27:$A39),'Raw Data'!$U$2:$U$251,0)),"")</f>
        <v>2</v>
      </c>
      <c r="G39" s="9">
        <f>IFERROR(INDEX('Raw Data'!$N$2:$N$251,MATCH(ROWS($A$27:$A39),'Raw Data'!$U$2:$U$251,0)),"")</f>
        <v>1399.98</v>
      </c>
    </row>
    <row r="40" spans="1:7" x14ac:dyDescent="0.35">
      <c r="A40" s="11" t="str">
        <f>IFERROR(INDEX('Raw Data'!$A$2:$A$251,MATCH(ROWS($A$27:$A40),'Raw Data'!$U$2:$U$251,0)),"")</f>
        <v>TRX0120</v>
      </c>
      <c r="B40" s="21">
        <f>IFERROR(INDEX('Raw Data'!$B$2:$B$251,MATCH(ROWS($A$27:$A40),'Raw Data'!$U$2:$U$251,0)),"")</f>
        <v>45758</v>
      </c>
      <c r="C40" s="11" t="str">
        <f>IFERROR(INDEX('Raw Data'!$D$2:$D$251,MATCH(ROWS($A$27:$A40),'Raw Data'!$U$2:$U$251,0)),"")</f>
        <v>Douglas Watson</v>
      </c>
      <c r="D40" s="11" t="str">
        <f>IFERROR(INDEX('Raw Data'!$F$2:$F$251,MATCH(ROWS($A$27:$A40),'Raw Data'!$U$2:$U$251,0)),"")</f>
        <v>Smartphone</v>
      </c>
      <c r="E40" s="11" t="str">
        <f>IFERROR(INDEX('Raw Data'!$K$2:$K$251,MATCH(ROWS($A$27:$A40),'Raw Data'!$U$2:$U$251,0)),"")</f>
        <v>North</v>
      </c>
      <c r="F40" s="17">
        <f>IFERROR(INDEX('Raw Data'!$H$2:$H$251,MATCH(ROWS($A$27:$A40),'Raw Data'!$U$2:$U$251,0)),"")</f>
        <v>3</v>
      </c>
      <c r="G40" s="9">
        <f>IFERROR(INDEX('Raw Data'!$N$2:$N$251,MATCH(ROWS($A$27:$A40),'Raw Data'!$U$2:$U$251,0)),"")</f>
        <v>2099.9699999999998</v>
      </c>
    </row>
    <row r="41" spans="1:7" x14ac:dyDescent="0.35">
      <c r="A41" s="11" t="str">
        <f>IFERROR(INDEX('Raw Data'!$A$2:$A$251,MATCH(ROWS($A$27:$A41),'Raw Data'!$U$2:$U$251,0)),"")</f>
        <v/>
      </c>
      <c r="B41" s="21" t="str">
        <f>IFERROR(INDEX('Raw Data'!$B$2:$B$251,MATCH(ROWS($A$27:$A41),'Raw Data'!$U$2:$U$251,0)),"")</f>
        <v/>
      </c>
      <c r="C41" s="11" t="str">
        <f>IFERROR(INDEX('Raw Data'!$D$2:$D$251,MATCH(ROWS($A$27:$A41),'Raw Data'!$U$2:$U$251,0)),"")</f>
        <v/>
      </c>
      <c r="D41" s="11" t="str">
        <f>IFERROR(INDEX('Raw Data'!$F$2:$F$251,MATCH(ROWS($A$27:$A41),'Raw Data'!$U$2:$U$251,0)),"")</f>
        <v/>
      </c>
      <c r="E41" s="11" t="str">
        <f>IFERROR(INDEX('Raw Data'!$K$2:$K$251,MATCH(ROWS($A$27:$A41),'Raw Data'!$U$2:$U$251,0)),"")</f>
        <v/>
      </c>
      <c r="F41" s="17" t="str">
        <f>IFERROR(INDEX('Raw Data'!$H$2:$H$251,MATCH(ROWS($A$27:$A41),'Raw Data'!$U$2:$U$251,0)),"")</f>
        <v/>
      </c>
      <c r="G41" s="9" t="str">
        <f>IFERROR(INDEX('Raw Data'!$N$2:$N$251,MATCH(ROWS($A$27:$A41),'Raw Data'!$U$2:$U$251,0)),"")</f>
        <v/>
      </c>
    </row>
    <row r="42" spans="1:7" x14ac:dyDescent="0.35">
      <c r="A42" s="11" t="str">
        <f>IFERROR(INDEX('Raw Data'!$A$2:$A$251,MATCH(ROWS($A$27:$A42),'Raw Data'!$U$2:$U$251,0)),"")</f>
        <v/>
      </c>
      <c r="B42" s="21" t="str">
        <f>IFERROR(INDEX('Raw Data'!$B$2:$B$251,MATCH(ROWS($A$27:$A42),'Raw Data'!$U$2:$U$251,0)),"")</f>
        <v/>
      </c>
      <c r="C42" s="11" t="str">
        <f>IFERROR(INDEX('Raw Data'!$D$2:$D$251,MATCH(ROWS($A$27:$A42),'Raw Data'!$U$2:$U$251,0)),"")</f>
        <v/>
      </c>
      <c r="D42" s="11" t="str">
        <f>IFERROR(INDEX('Raw Data'!$F$2:$F$251,MATCH(ROWS($A$27:$A42),'Raw Data'!$U$2:$U$251,0)),"")</f>
        <v/>
      </c>
      <c r="E42" s="11" t="str">
        <f>IFERROR(INDEX('Raw Data'!$K$2:$K$251,MATCH(ROWS($A$27:$A42),'Raw Data'!$U$2:$U$251,0)),"")</f>
        <v/>
      </c>
      <c r="F42" s="17" t="str">
        <f>IFERROR(INDEX('Raw Data'!$H$2:$H$251,MATCH(ROWS($A$27:$A42),'Raw Data'!$U$2:$U$251,0)),"")</f>
        <v/>
      </c>
      <c r="G42" s="9" t="str">
        <f>IFERROR(INDEX('Raw Data'!$N$2:$N$251,MATCH(ROWS($A$27:$A42),'Raw Data'!$U$2:$U$251,0)),"")</f>
        <v/>
      </c>
    </row>
    <row r="43" spans="1:7" x14ac:dyDescent="0.35">
      <c r="A43" s="11" t="str">
        <f>IFERROR(INDEX('Raw Data'!$A$2:$A$251,MATCH(ROWS($A$27:$A43),'Raw Data'!$U$2:$U$251,0)),"")</f>
        <v/>
      </c>
      <c r="B43" s="21" t="str">
        <f>IFERROR(INDEX('Raw Data'!$B$2:$B$251,MATCH(ROWS($A$27:$A43),'Raw Data'!$U$2:$U$251,0)),"")</f>
        <v/>
      </c>
      <c r="C43" s="11" t="str">
        <f>IFERROR(INDEX('Raw Data'!$D$2:$D$251,MATCH(ROWS($A$27:$A43),'Raw Data'!$U$2:$U$251,0)),"")</f>
        <v/>
      </c>
      <c r="D43" s="11" t="str">
        <f>IFERROR(INDEX('Raw Data'!$F$2:$F$251,MATCH(ROWS($A$27:$A43),'Raw Data'!$U$2:$U$251,0)),"")</f>
        <v/>
      </c>
      <c r="E43" s="11" t="str">
        <f>IFERROR(INDEX('Raw Data'!$K$2:$K$251,MATCH(ROWS($A$27:$A43),'Raw Data'!$U$2:$U$251,0)),"")</f>
        <v/>
      </c>
      <c r="F43" s="17" t="str">
        <f>IFERROR(INDEX('Raw Data'!$H$2:$H$251,MATCH(ROWS($A$27:$A43),'Raw Data'!$U$2:$U$251,0)),"")</f>
        <v/>
      </c>
      <c r="G43" s="9" t="str">
        <f>IFERROR(INDEX('Raw Data'!$N$2:$N$251,MATCH(ROWS($A$27:$A43),'Raw Data'!$U$2:$U$251,0)),"")</f>
        <v/>
      </c>
    </row>
    <row r="44" spans="1:7" x14ac:dyDescent="0.35">
      <c r="A44" s="11" t="str">
        <f>IFERROR(INDEX('Raw Data'!$A$2:$A$251,MATCH(ROWS($A$27:$A44),'Raw Data'!$U$2:$U$251,0)),"")</f>
        <v/>
      </c>
      <c r="B44" s="21" t="str">
        <f>IFERROR(INDEX('Raw Data'!$B$2:$B$251,MATCH(ROWS($A$27:$A44),'Raw Data'!$U$2:$U$251,0)),"")</f>
        <v/>
      </c>
      <c r="C44" s="11" t="str">
        <f>IFERROR(INDEX('Raw Data'!$D$2:$D$251,MATCH(ROWS($A$27:$A44),'Raw Data'!$U$2:$U$251,0)),"")</f>
        <v/>
      </c>
      <c r="D44" s="11" t="str">
        <f>IFERROR(INDEX('Raw Data'!$F$2:$F$251,MATCH(ROWS($A$27:$A44),'Raw Data'!$U$2:$U$251,0)),"")</f>
        <v/>
      </c>
      <c r="E44" s="11" t="str">
        <f>IFERROR(INDEX('Raw Data'!$K$2:$K$251,MATCH(ROWS($A$27:$A44),'Raw Data'!$U$2:$U$251,0)),"")</f>
        <v/>
      </c>
      <c r="F44" s="17" t="str">
        <f>IFERROR(INDEX('Raw Data'!$H$2:$H$251,MATCH(ROWS($A$27:$A44),'Raw Data'!$U$2:$U$251,0)),"")</f>
        <v/>
      </c>
      <c r="G44" s="9" t="str">
        <f>IFERROR(INDEX('Raw Data'!$N$2:$N$251,MATCH(ROWS($A$27:$A44),'Raw Data'!$U$2:$U$251,0)),"")</f>
        <v/>
      </c>
    </row>
    <row r="45" spans="1:7" x14ac:dyDescent="0.35">
      <c r="A45" s="11" t="str">
        <f>IFERROR(INDEX('Raw Data'!$A$2:$A$251,MATCH(ROWS($A$27:$A45),'Raw Data'!$U$2:$U$251,0)),"")</f>
        <v/>
      </c>
      <c r="B45" s="21" t="str">
        <f>IFERROR(INDEX('Raw Data'!$B$2:$B$251,MATCH(ROWS($A$27:$A45),'Raw Data'!$U$2:$U$251,0)),"")</f>
        <v/>
      </c>
      <c r="C45" s="11" t="str">
        <f>IFERROR(INDEX('Raw Data'!$D$2:$D$251,MATCH(ROWS($A$27:$A45),'Raw Data'!$U$2:$U$251,0)),"")</f>
        <v/>
      </c>
      <c r="D45" s="11" t="str">
        <f>IFERROR(INDEX('Raw Data'!$F$2:$F$251,MATCH(ROWS($A$27:$A45),'Raw Data'!$U$2:$U$251,0)),"")</f>
        <v/>
      </c>
      <c r="E45" s="11" t="str">
        <f>IFERROR(INDEX('Raw Data'!$K$2:$K$251,MATCH(ROWS($A$27:$A45),'Raw Data'!$U$2:$U$251,0)),"")</f>
        <v/>
      </c>
      <c r="F45" s="17" t="str">
        <f>IFERROR(INDEX('Raw Data'!$H$2:$H$251,MATCH(ROWS($A$27:$A45),'Raw Data'!$U$2:$U$251,0)),"")</f>
        <v/>
      </c>
      <c r="G45" s="9" t="str">
        <f>IFERROR(INDEX('Raw Data'!$N$2:$N$251,MATCH(ROWS($A$27:$A45),'Raw Data'!$U$2:$U$251,0)),"")</f>
        <v/>
      </c>
    </row>
    <row r="46" spans="1:7" x14ac:dyDescent="0.35">
      <c r="A46" s="11" t="str">
        <f>IFERROR(INDEX('Raw Data'!$A$2:$A$251,MATCH(ROWS($A$27:$A46),'Raw Data'!$U$2:$U$251,0)),"")</f>
        <v/>
      </c>
      <c r="B46" s="21" t="str">
        <f>IFERROR(INDEX('Raw Data'!$B$2:$B$251,MATCH(ROWS($A$27:$A46),'Raw Data'!$U$2:$U$251,0)),"")</f>
        <v/>
      </c>
      <c r="C46" s="11" t="str">
        <f>IFERROR(INDEX('Raw Data'!$D$2:$D$251,MATCH(ROWS($A$27:$A46),'Raw Data'!$U$2:$U$251,0)),"")</f>
        <v/>
      </c>
      <c r="D46" s="11" t="str">
        <f>IFERROR(INDEX('Raw Data'!$F$2:$F$251,MATCH(ROWS($A$27:$A46),'Raw Data'!$U$2:$U$251,0)),"")</f>
        <v/>
      </c>
      <c r="E46" s="11" t="str">
        <f>IFERROR(INDEX('Raw Data'!$K$2:$K$251,MATCH(ROWS($A$27:$A46),'Raw Data'!$U$2:$U$251,0)),"")</f>
        <v/>
      </c>
      <c r="F46" s="17" t="str">
        <f>IFERROR(INDEX('Raw Data'!$H$2:$H$251,MATCH(ROWS($A$27:$A46),'Raw Data'!$U$2:$U$251,0)),"")</f>
        <v/>
      </c>
      <c r="G46" s="9" t="str">
        <f>IFERROR(INDEX('Raw Data'!$N$2:$N$251,MATCH(ROWS($A$27:$A46),'Raw Data'!$U$2:$U$251,0)),"")</f>
        <v/>
      </c>
    </row>
    <row r="47" spans="1:7" x14ac:dyDescent="0.35">
      <c r="A47" s="11" t="str">
        <f>IFERROR(INDEX('Raw Data'!$A$2:$A$251,MATCH(ROWS($A$27:$A47),'Raw Data'!$U$2:$U$251,0)),"")</f>
        <v/>
      </c>
      <c r="B47" s="21" t="str">
        <f>IFERROR(INDEX('Raw Data'!$B$2:$B$251,MATCH(ROWS($A$27:$A47),'Raw Data'!$U$2:$U$251,0)),"")</f>
        <v/>
      </c>
      <c r="C47" s="11" t="str">
        <f>IFERROR(INDEX('Raw Data'!$D$2:$D$251,MATCH(ROWS($A$27:$A47),'Raw Data'!$U$2:$U$251,0)),"")</f>
        <v/>
      </c>
      <c r="D47" s="11" t="str">
        <f>IFERROR(INDEX('Raw Data'!$F$2:$F$251,MATCH(ROWS($A$27:$A47),'Raw Data'!$U$2:$U$251,0)),"")</f>
        <v/>
      </c>
      <c r="E47" s="11" t="str">
        <f>IFERROR(INDEX('Raw Data'!$K$2:$K$251,MATCH(ROWS($A$27:$A47),'Raw Data'!$U$2:$U$251,0)),"")</f>
        <v/>
      </c>
      <c r="F47" s="17" t="str">
        <f>IFERROR(INDEX('Raw Data'!$H$2:$H$251,MATCH(ROWS($A$27:$A47),'Raw Data'!$U$2:$U$251,0)),"")</f>
        <v/>
      </c>
      <c r="G47" s="9" t="str">
        <f>IFERROR(INDEX('Raw Data'!$N$2:$N$251,MATCH(ROWS($A$27:$A47),'Raw Data'!$U$2:$U$251,0)),"")</f>
        <v/>
      </c>
    </row>
    <row r="48" spans="1:7" x14ac:dyDescent="0.35">
      <c r="A48" s="11" t="str">
        <f>IFERROR(INDEX('Raw Data'!$A$2:$A$251,MATCH(ROWS($A$27:$A48),'Raw Data'!$U$2:$U$251,0)),"")</f>
        <v/>
      </c>
      <c r="B48" s="21" t="str">
        <f>IFERROR(INDEX('Raw Data'!$B$2:$B$251,MATCH(ROWS($A$27:$A48),'Raw Data'!$U$2:$U$251,0)),"")</f>
        <v/>
      </c>
      <c r="C48" s="11" t="str">
        <f>IFERROR(INDEX('Raw Data'!$D$2:$D$251,MATCH(ROWS($A$27:$A48),'Raw Data'!$U$2:$U$251,0)),"")</f>
        <v/>
      </c>
      <c r="D48" s="11" t="str">
        <f>IFERROR(INDEX('Raw Data'!$F$2:$F$251,MATCH(ROWS($A$27:$A48),'Raw Data'!$U$2:$U$251,0)),"")</f>
        <v/>
      </c>
      <c r="E48" s="11" t="str">
        <f>IFERROR(INDEX('Raw Data'!$K$2:$K$251,MATCH(ROWS($A$27:$A48),'Raw Data'!$U$2:$U$251,0)),"")</f>
        <v/>
      </c>
      <c r="F48" s="17" t="str">
        <f>IFERROR(INDEX('Raw Data'!$H$2:$H$251,MATCH(ROWS($A$27:$A48),'Raw Data'!$U$2:$U$251,0)),"")</f>
        <v/>
      </c>
      <c r="G48" s="9" t="str">
        <f>IFERROR(INDEX('Raw Data'!$N$2:$N$251,MATCH(ROWS($A$27:$A48),'Raw Data'!$U$2:$U$251,0)),"")</f>
        <v/>
      </c>
    </row>
    <row r="49" spans="1:7" x14ac:dyDescent="0.35">
      <c r="A49" s="11" t="str">
        <f>IFERROR(INDEX('Raw Data'!$A$2:$A$251,MATCH(ROWS($A$27:$A49),'Raw Data'!$U$2:$U$251,0)),"")</f>
        <v/>
      </c>
      <c r="B49" s="21" t="str">
        <f>IFERROR(INDEX('Raw Data'!$B$2:$B$251,MATCH(ROWS($A$27:$A49),'Raw Data'!$U$2:$U$251,0)),"")</f>
        <v/>
      </c>
      <c r="C49" s="11" t="str">
        <f>IFERROR(INDEX('Raw Data'!$D$2:$D$251,MATCH(ROWS($A$27:$A49),'Raw Data'!$U$2:$U$251,0)),"")</f>
        <v/>
      </c>
      <c r="D49" s="11" t="str">
        <f>IFERROR(INDEX('Raw Data'!$F$2:$F$251,MATCH(ROWS($A$27:$A49),'Raw Data'!$U$2:$U$251,0)),"")</f>
        <v/>
      </c>
      <c r="E49" s="11" t="str">
        <f>IFERROR(INDEX('Raw Data'!$K$2:$K$251,MATCH(ROWS($A$27:$A49),'Raw Data'!$U$2:$U$251,0)),"")</f>
        <v/>
      </c>
      <c r="F49" s="17" t="str">
        <f>IFERROR(INDEX('Raw Data'!$H$2:$H$251,MATCH(ROWS($A$27:$A49),'Raw Data'!$U$2:$U$251,0)),"")</f>
        <v/>
      </c>
      <c r="G49" s="9" t="str">
        <f>IFERROR(INDEX('Raw Data'!$N$2:$N$251,MATCH(ROWS($A$27:$A49),'Raw Data'!$U$2:$U$251,0)),"")</f>
        <v/>
      </c>
    </row>
    <row r="50" spans="1:7" x14ac:dyDescent="0.35">
      <c r="A50" s="11" t="str">
        <f>IFERROR(INDEX('Raw Data'!$A$2:$A$251,MATCH(ROWS($A$27:$A50),'Raw Data'!$U$2:$U$251,0)),"")</f>
        <v/>
      </c>
      <c r="B50" s="21" t="str">
        <f>IFERROR(INDEX('Raw Data'!$B$2:$B$251,MATCH(ROWS($A$27:$A50),'Raw Data'!$U$2:$U$251,0)),"")</f>
        <v/>
      </c>
      <c r="C50" s="11" t="str">
        <f>IFERROR(INDEX('Raw Data'!$D$2:$D$251,MATCH(ROWS($A$27:$A50),'Raw Data'!$U$2:$U$251,0)),"")</f>
        <v/>
      </c>
      <c r="D50" s="11" t="str">
        <f>IFERROR(INDEX('Raw Data'!$F$2:$F$251,MATCH(ROWS($A$27:$A50),'Raw Data'!$U$2:$U$251,0)),"")</f>
        <v/>
      </c>
      <c r="E50" s="11" t="str">
        <f>IFERROR(INDEX('Raw Data'!$K$2:$K$251,MATCH(ROWS($A$27:$A50),'Raw Data'!$U$2:$U$251,0)),"")</f>
        <v/>
      </c>
      <c r="F50" s="17" t="str">
        <f>IFERROR(INDEX('Raw Data'!$H$2:$H$251,MATCH(ROWS($A$27:$A50),'Raw Data'!$U$2:$U$251,0)),"")</f>
        <v/>
      </c>
      <c r="G50" s="9" t="str">
        <f>IFERROR(INDEX('Raw Data'!$N$2:$N$251,MATCH(ROWS($A$27:$A50),'Raw Data'!$U$2:$U$251,0)),"")</f>
        <v/>
      </c>
    </row>
    <row r="51" spans="1:7" x14ac:dyDescent="0.35">
      <c r="A51" s="11" t="str">
        <f>IFERROR(INDEX('Raw Data'!$A$2:$A$251,MATCH(ROWS($A$27:$A51),'Raw Data'!$U$2:$U$251,0)),"")</f>
        <v/>
      </c>
      <c r="B51" s="21" t="str">
        <f>IFERROR(INDEX('Raw Data'!$B$2:$B$251,MATCH(ROWS($A$27:$A51),'Raw Data'!$U$2:$U$251,0)),"")</f>
        <v/>
      </c>
      <c r="C51" s="11" t="str">
        <f>IFERROR(INDEX('Raw Data'!$D$2:$D$251,MATCH(ROWS($A$27:$A51),'Raw Data'!$U$2:$U$251,0)),"")</f>
        <v/>
      </c>
      <c r="D51" s="11" t="str">
        <f>IFERROR(INDEX('Raw Data'!$F$2:$F$251,MATCH(ROWS($A$27:$A51),'Raw Data'!$U$2:$U$251,0)),"")</f>
        <v/>
      </c>
      <c r="E51" s="11" t="str">
        <f>IFERROR(INDEX('Raw Data'!$K$2:$K$251,MATCH(ROWS($A$27:$A51),'Raw Data'!$U$2:$U$251,0)),"")</f>
        <v/>
      </c>
      <c r="F51" s="17" t="str">
        <f>IFERROR(INDEX('Raw Data'!$H$2:$H$251,MATCH(ROWS($A$27:$A51),'Raw Data'!$U$2:$U$251,0)),"")</f>
        <v/>
      </c>
      <c r="G51" s="9" t="str">
        <f>IFERROR(INDEX('Raw Data'!$N$2:$N$251,MATCH(ROWS($A$27:$A51),'Raw Data'!$U$2:$U$251,0)),"")</f>
        <v/>
      </c>
    </row>
    <row r="52" spans="1:7" x14ac:dyDescent="0.35">
      <c r="A52" s="19"/>
    </row>
    <row r="54" spans="1:7" ht="15.5" x14ac:dyDescent="0.35">
      <c r="A54" s="45" t="s">
        <v>502</v>
      </c>
      <c r="B54" s="46"/>
      <c r="C54" s="46"/>
      <c r="D54" s="46"/>
      <c r="E54" s="46"/>
      <c r="F54" s="46"/>
      <c r="G54" s="46"/>
    </row>
    <row r="55" spans="1:7" x14ac:dyDescent="0.35">
      <c r="A55" s="26" t="s">
        <v>503</v>
      </c>
    </row>
    <row r="56" spans="1:7" x14ac:dyDescent="0.35">
      <c r="A56" s="26"/>
    </row>
    <row r="58" spans="1:7" x14ac:dyDescent="0.35">
      <c r="A58" s="49" t="s">
        <v>504</v>
      </c>
      <c r="B58" s="49" t="s">
        <v>505</v>
      </c>
      <c r="C58" s="49" t="s">
        <v>506</v>
      </c>
    </row>
    <row r="59" spans="1:7" x14ac:dyDescent="0.35">
      <c r="A59" s="11" t="s">
        <v>507</v>
      </c>
      <c r="B59" s="23" t="s">
        <v>508</v>
      </c>
      <c r="C59" s="22">
        <v>46324.374648726851</v>
      </c>
    </row>
    <row r="60" spans="1:7" x14ac:dyDescent="0.35">
      <c r="A60" s="11" t="s">
        <v>509</v>
      </c>
      <c r="B60" s="23" t="s">
        <v>508</v>
      </c>
      <c r="C60" s="22">
        <v>46324.374648726851</v>
      </c>
    </row>
    <row r="61" spans="1:7" x14ac:dyDescent="0.35">
      <c r="A61" s="11" t="s">
        <v>510</v>
      </c>
      <c r="B61" s="23" t="s">
        <v>508</v>
      </c>
      <c r="C61" s="22">
        <v>46324.374648726851</v>
      </c>
    </row>
    <row r="62" spans="1:7" x14ac:dyDescent="0.35">
      <c r="A62" s="11" t="s">
        <v>511</v>
      </c>
      <c r="B62" s="23"/>
      <c r="C62" s="22" t="str">
        <f t="shared" ref="C62:C68" ca="1" si="0">IF(B62&lt;&gt;"",IF(C62="",NOW(),C62),"")</f>
        <v/>
      </c>
    </row>
    <row r="63" spans="1:7" x14ac:dyDescent="0.35">
      <c r="A63" s="11" t="s">
        <v>512</v>
      </c>
      <c r="B63" s="23"/>
      <c r="C63" s="22" t="str">
        <f t="shared" ca="1" si="0"/>
        <v/>
      </c>
    </row>
    <row r="64" spans="1:7" x14ac:dyDescent="0.35">
      <c r="A64" s="11" t="s">
        <v>513</v>
      </c>
      <c r="B64" s="23"/>
      <c r="C64" s="22" t="str">
        <f t="shared" ca="1" si="0"/>
        <v/>
      </c>
    </row>
    <row r="65" spans="1:3" x14ac:dyDescent="0.35">
      <c r="A65" s="11" t="s">
        <v>514</v>
      </c>
      <c r="B65" s="23"/>
      <c r="C65" s="22" t="str">
        <f t="shared" ca="1" si="0"/>
        <v/>
      </c>
    </row>
    <row r="66" spans="1:3" x14ac:dyDescent="0.35">
      <c r="A66" s="11" t="s">
        <v>515</v>
      </c>
      <c r="B66" s="23"/>
      <c r="C66" s="22" t="str">
        <f t="shared" ca="1" si="0"/>
        <v/>
      </c>
    </row>
    <row r="67" spans="1:3" x14ac:dyDescent="0.35">
      <c r="A67" s="11" t="s">
        <v>516</v>
      </c>
      <c r="B67" s="23"/>
      <c r="C67" s="22" t="str">
        <f t="shared" ca="1" si="0"/>
        <v/>
      </c>
    </row>
    <row r="68" spans="1:3" x14ac:dyDescent="0.35">
      <c r="A68" s="11" t="s">
        <v>517</v>
      </c>
      <c r="B68" s="23"/>
      <c r="C68" s="22" t="str">
        <f t="shared" ca="1" si="0"/>
        <v/>
      </c>
    </row>
  </sheetData>
  <mergeCells count="1">
    <mergeCell ref="A1:G1"/>
  </mergeCells>
  <dataValidations count="1">
    <dataValidation type="list" sqref="C21" xr:uid="{00000000-0002-0000-0400-000000000000}">
      <formula1>"Central,East,North,South,West"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showGridLines="0" workbookViewId="0">
      <selection activeCell="A63" sqref="A63"/>
    </sheetView>
  </sheetViews>
  <sheetFormatPr defaultRowHeight="14.5" x14ac:dyDescent="0.35"/>
  <cols>
    <col min="1" max="1" width="52" customWidth="1"/>
    <col min="2" max="5" width="18" customWidth="1"/>
    <col min="6" max="6" width="10" customWidth="1"/>
  </cols>
  <sheetData>
    <row r="1" spans="1:6" ht="28" customHeight="1" x14ac:dyDescent="0.35">
      <c r="A1" s="43" t="s">
        <v>518</v>
      </c>
      <c r="B1" s="44"/>
      <c r="C1" s="44"/>
      <c r="D1" s="44"/>
      <c r="E1" s="44"/>
      <c r="F1" s="44"/>
    </row>
    <row r="2" spans="1:6" x14ac:dyDescent="0.35">
      <c r="A2" s="39"/>
      <c r="B2" s="36"/>
      <c r="C2" s="36"/>
      <c r="D2" s="36"/>
      <c r="E2" s="36"/>
      <c r="F2" s="36"/>
    </row>
    <row r="3" spans="1:6" ht="15.5" x14ac:dyDescent="0.35">
      <c r="A3" s="45" t="s">
        <v>519</v>
      </c>
      <c r="B3" s="46"/>
      <c r="C3" s="46"/>
      <c r="D3" s="46"/>
      <c r="E3" s="46"/>
      <c r="F3" s="46"/>
    </row>
    <row r="4" spans="1:6" x14ac:dyDescent="0.35">
      <c r="A4" s="8" t="s">
        <v>520</v>
      </c>
      <c r="B4" s="9">
        <f>SUM('Raw Data'!$N$2:$N$251)</f>
        <v>229192.47000000032</v>
      </c>
    </row>
    <row r="5" spans="1:6" x14ac:dyDescent="0.35">
      <c r="A5" s="8" t="s">
        <v>521</v>
      </c>
      <c r="B5" s="20">
        <v>0.7</v>
      </c>
    </row>
    <row r="6" spans="1:6" x14ac:dyDescent="0.35">
      <c r="A6" s="8" t="s">
        <v>522</v>
      </c>
      <c r="B6" s="27">
        <v>1</v>
      </c>
    </row>
    <row r="8" spans="1:6" ht="15.5" x14ac:dyDescent="0.35">
      <c r="A8" s="45" t="s">
        <v>523</v>
      </c>
      <c r="B8" s="46"/>
      <c r="C8" s="46"/>
      <c r="D8" s="46"/>
      <c r="E8" s="46"/>
      <c r="F8" s="46"/>
    </row>
    <row r="9" spans="1:6" x14ac:dyDescent="0.35">
      <c r="A9" s="49" t="s">
        <v>524</v>
      </c>
      <c r="B9" s="49" t="s">
        <v>525</v>
      </c>
      <c r="C9" s="49" t="s">
        <v>526</v>
      </c>
      <c r="D9" s="49" t="s">
        <v>527</v>
      </c>
      <c r="E9" s="49" t="s">
        <v>528</v>
      </c>
    </row>
    <row r="10" spans="1:6" x14ac:dyDescent="0.35">
      <c r="A10" s="8" t="s">
        <v>529</v>
      </c>
      <c r="B10" s="28">
        <v>0</v>
      </c>
      <c r="C10" s="28">
        <v>0.05</v>
      </c>
      <c r="D10" s="28">
        <v>-0.03</v>
      </c>
      <c r="E10" s="12">
        <f>CHOOSE($B$6,B10,C10,D10)</f>
        <v>0</v>
      </c>
    </row>
    <row r="11" spans="1:6" x14ac:dyDescent="0.35">
      <c r="A11" s="8" t="s">
        <v>530</v>
      </c>
      <c r="B11" s="28">
        <v>0</v>
      </c>
      <c r="C11" s="28">
        <v>0.1</v>
      </c>
      <c r="D11" s="28">
        <v>-0.1</v>
      </c>
      <c r="E11" s="12">
        <f>CHOOSE($B$6,B11,C11,D11)</f>
        <v>0</v>
      </c>
    </row>
    <row r="12" spans="1:6" x14ac:dyDescent="0.35">
      <c r="A12" s="8" t="s">
        <v>531</v>
      </c>
      <c r="B12" s="28">
        <v>0</v>
      </c>
      <c r="C12" s="28">
        <v>0.02</v>
      </c>
      <c r="D12" s="28">
        <v>0.08</v>
      </c>
      <c r="E12" s="12">
        <f>CHOOSE($B$6,B12,C12,D12)</f>
        <v>0</v>
      </c>
    </row>
    <row r="14" spans="1:6" ht="15.5" x14ac:dyDescent="0.35">
      <c r="A14" s="45" t="s">
        <v>532</v>
      </c>
      <c r="B14" s="46"/>
      <c r="C14" s="46"/>
      <c r="D14" s="46"/>
      <c r="E14" s="46"/>
      <c r="F14" s="46"/>
    </row>
    <row r="15" spans="1:6" x14ac:dyDescent="0.35">
      <c r="A15" s="49" t="s">
        <v>533</v>
      </c>
      <c r="B15" s="49" t="s">
        <v>525</v>
      </c>
      <c r="C15" s="49" t="s">
        <v>526</v>
      </c>
      <c r="D15" s="49" t="s">
        <v>527</v>
      </c>
      <c r="E15" s="49" t="s">
        <v>528</v>
      </c>
    </row>
    <row r="16" spans="1:6" x14ac:dyDescent="0.35">
      <c r="A16" s="8" t="s">
        <v>534</v>
      </c>
      <c r="B16" s="9">
        <f>$B$4*(1+B10)*(1+B11)*(1-B12)</f>
        <v>229192.47000000032</v>
      </c>
      <c r="C16" s="9">
        <f>$B$4*(1+C10)*(1+C11)*(1-C12)</f>
        <v>259422.95679300037</v>
      </c>
      <c r="D16" s="9">
        <f>$B$4*(1+D10)*(1+D11)*(1-D12)</f>
        <v>184078.22420520027</v>
      </c>
      <c r="E16" s="9">
        <f>$B$4*(1+E10)*(1+E11)*(1-E12)</f>
        <v>229192.47000000032</v>
      </c>
    </row>
    <row r="17" spans="1:6" x14ac:dyDescent="0.35">
      <c r="A17" s="8" t="s">
        <v>535</v>
      </c>
      <c r="B17" s="9">
        <f>$B$4*(1+B11)*$B$5</f>
        <v>160434.72900000022</v>
      </c>
      <c r="C17" s="9">
        <f>$B$4*(1+C11)*$B$5</f>
        <v>176478.20190000025</v>
      </c>
      <c r="D17" s="9">
        <f>$B$4*(1+D11)*$B$5</f>
        <v>144391.2561000002</v>
      </c>
      <c r="E17" s="9">
        <f>$B$4*(1+E11)*$B$5</f>
        <v>160434.72900000022</v>
      </c>
    </row>
    <row r="18" spans="1:6" x14ac:dyDescent="0.35">
      <c r="A18" s="8" t="s">
        <v>536</v>
      </c>
      <c r="B18" s="9">
        <f>B16-B17</f>
        <v>68757.741000000096</v>
      </c>
      <c r="C18" s="9">
        <f>C16-C17</f>
        <v>82944.754893000121</v>
      </c>
      <c r="D18" s="9">
        <f>D16-D17</f>
        <v>39686.968105200067</v>
      </c>
      <c r="E18" s="9">
        <f>E16-E17</f>
        <v>68757.741000000096</v>
      </c>
    </row>
    <row r="19" spans="1:6" x14ac:dyDescent="0.35">
      <c r="A19" s="8" t="s">
        <v>537</v>
      </c>
      <c r="B19" s="12">
        <f>IFERROR(B18/B16,0)</f>
        <v>0.3</v>
      </c>
      <c r="C19" s="12">
        <f>IFERROR(C18/C16,0)</f>
        <v>0.31972789115646261</v>
      </c>
      <c r="D19" s="12">
        <f>IFERROR(D18/D16,0)</f>
        <v>0.21559838637382345</v>
      </c>
      <c r="E19" s="12">
        <f>IFERROR(E18/E16,0)</f>
        <v>0.3</v>
      </c>
    </row>
    <row r="20" spans="1:6" x14ac:dyDescent="0.35">
      <c r="A20" s="8" t="s">
        <v>538</v>
      </c>
      <c r="B20" s="12">
        <f>B16/$B$16-1</f>
        <v>0</v>
      </c>
      <c r="C20" s="12">
        <f>C16/$B$16-1</f>
        <v>0.13190000000000013</v>
      </c>
      <c r="D20" s="12">
        <f>D16/$B$16-1</f>
        <v>-0.1968399999999999</v>
      </c>
      <c r="E20" s="12">
        <f>E16/$B$16-1</f>
        <v>0</v>
      </c>
    </row>
    <row r="21" spans="1:6" x14ac:dyDescent="0.35">
      <c r="A21" s="8" t="s">
        <v>539</v>
      </c>
      <c r="B21" s="12">
        <f>IFERROR(B18/$B$18-1,0)</f>
        <v>0</v>
      </c>
      <c r="C21" s="12">
        <f>IFERROR(C18/$B$18-1,0)</f>
        <v>0.20633333333333348</v>
      </c>
      <c r="D21" s="12">
        <f>IFERROR(D18/$B$18-1,0)</f>
        <v>-0.42279999999999984</v>
      </c>
      <c r="E21" s="12">
        <f>IFERROR(E18/$B$18-1,0)</f>
        <v>0</v>
      </c>
    </row>
    <row r="23" spans="1:6" ht="15.5" x14ac:dyDescent="0.35">
      <c r="A23" s="45" t="s">
        <v>540</v>
      </c>
      <c r="B23" s="46"/>
      <c r="C23" s="46"/>
      <c r="D23" s="46"/>
      <c r="E23" s="46"/>
      <c r="F23" s="46"/>
    </row>
    <row r="24" spans="1:6" x14ac:dyDescent="0.35">
      <c r="A24" s="8" t="s">
        <v>541</v>
      </c>
      <c r="B24" s="28">
        <v>0.15</v>
      </c>
    </row>
    <row r="25" spans="1:6" x14ac:dyDescent="0.35">
      <c r="A25" s="8" t="s">
        <v>542</v>
      </c>
      <c r="B25" s="9">
        <f>B4*(1+B24)</f>
        <v>263571.34050000034</v>
      </c>
    </row>
    <row r="26" spans="1:6" x14ac:dyDescent="0.35">
      <c r="A26" s="8" t="s">
        <v>543</v>
      </c>
      <c r="B26" s="28">
        <v>0.05</v>
      </c>
    </row>
    <row r="27" spans="1:6" x14ac:dyDescent="0.35">
      <c r="A27" s="8" t="s">
        <v>544</v>
      </c>
      <c r="B27" s="28">
        <v>0.02</v>
      </c>
    </row>
    <row r="28" spans="1:6" x14ac:dyDescent="0.35">
      <c r="A28" s="8" t="s">
        <v>545</v>
      </c>
      <c r="B28" s="29">
        <v>0.1175898931000972</v>
      </c>
    </row>
    <row r="29" spans="1:6" x14ac:dyDescent="0.35">
      <c r="A29" s="8" t="s">
        <v>546</v>
      </c>
      <c r="B29" s="9">
        <f>B4*(1+B26)*(1+B28)*(1-B27)</f>
        <v>263571.34050000034</v>
      </c>
    </row>
    <row r="30" spans="1:6" x14ac:dyDescent="0.35">
      <c r="A30" s="8" t="s">
        <v>547</v>
      </c>
      <c r="B30" s="9">
        <f>B29-B25</f>
        <v>0</v>
      </c>
    </row>
    <row r="31" spans="1:6" x14ac:dyDescent="0.35">
      <c r="A31" s="8" t="s">
        <v>548</v>
      </c>
      <c r="B31" s="30">
        <f>B25/(B4*(1+B26)*(1-B27))-1</f>
        <v>0.11758989310009715</v>
      </c>
    </row>
    <row r="33" spans="1:1" x14ac:dyDescent="0.35">
      <c r="A33" s="1"/>
    </row>
    <row r="34" spans="1:1" x14ac:dyDescent="0.35">
      <c r="A34" s="1"/>
    </row>
  </sheetData>
  <mergeCells count="2">
    <mergeCell ref="A2:F2"/>
    <mergeCell ref="A1:F1"/>
  </mergeCells>
  <conditionalFormatting sqref="B20:E21">
    <cfRule type="iconSet" priority="1">
      <iconSet iconSet="3Arrows">
        <cfvo type="num" val="-100"/>
        <cfvo type="num" val="0"/>
        <cfvo type="num" val="1E-4"/>
      </iconSet>
    </cfRule>
  </conditionalFormatting>
  <dataValidations count="1">
    <dataValidation type="list" sqref="B6" xr:uid="{00000000-0002-0000-0500-000000000000}">
      <formula1>"1,2,3"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showGridLines="0" topLeftCell="A56" workbookViewId="0">
      <selection activeCell="A74" sqref="A74"/>
    </sheetView>
  </sheetViews>
  <sheetFormatPr defaultRowHeight="14.5" x14ac:dyDescent="0.35"/>
  <cols>
    <col min="1" max="1" width="30" customWidth="1"/>
    <col min="2" max="3" width="16" customWidth="1"/>
    <col min="4" max="5" width="14" customWidth="1"/>
    <col min="6" max="6" width="16" customWidth="1"/>
    <col min="7" max="7" width="14" customWidth="1"/>
  </cols>
  <sheetData>
    <row r="1" spans="1:6" ht="28" customHeight="1" x14ac:dyDescent="0.35">
      <c r="A1" s="43" t="s">
        <v>549</v>
      </c>
      <c r="B1" s="44"/>
      <c r="C1" s="44"/>
      <c r="D1" s="44"/>
      <c r="E1" s="44"/>
      <c r="F1" s="44"/>
    </row>
    <row r="2" spans="1:6" x14ac:dyDescent="0.35">
      <c r="A2" s="39"/>
      <c r="B2" s="36"/>
      <c r="C2" s="36"/>
      <c r="D2" s="36"/>
      <c r="E2" s="36"/>
      <c r="F2" s="36"/>
    </row>
    <row r="4" spans="1:6" ht="15.5" x14ac:dyDescent="0.35">
      <c r="A4" s="45" t="s">
        <v>550</v>
      </c>
      <c r="B4" s="46"/>
      <c r="C4" s="46"/>
      <c r="D4" s="46"/>
      <c r="E4" s="46"/>
      <c r="F4" s="46"/>
    </row>
    <row r="6" spans="1:6" x14ac:dyDescent="0.35">
      <c r="A6" s="8" t="s">
        <v>551</v>
      </c>
      <c r="B6" s="31">
        <f>SQRT(B7)</f>
        <v>0.92884475314278125</v>
      </c>
    </row>
    <row r="7" spans="1:6" x14ac:dyDescent="0.35">
      <c r="A7" s="8" t="s">
        <v>552</v>
      </c>
      <c r="B7" s="31">
        <f>INDEX(LINEST('Raw Data'!$N$2:$N$251,'Raw Data'!$H$2:$I$251,TRUE,TRUE),3,1)</f>
        <v>0.86275257544087425</v>
      </c>
    </row>
    <row r="8" spans="1:6" x14ac:dyDescent="0.35">
      <c r="A8" s="8" t="s">
        <v>553</v>
      </c>
      <c r="B8" s="31">
        <f>1-(1-B7)*(B10-1)/(B10-3)</f>
        <v>0.86164126026225785</v>
      </c>
    </row>
    <row r="9" spans="1:6" x14ac:dyDescent="0.35">
      <c r="A9" s="8" t="s">
        <v>554</v>
      </c>
      <c r="B9" s="32">
        <f>INDEX(LINEST('Raw Data'!$N$2:$N$251,'Raw Data'!$H$2:$I$251,TRUE,TRUE),3,2)</f>
        <v>384.0374977385618</v>
      </c>
    </row>
    <row r="10" spans="1:6" x14ac:dyDescent="0.35">
      <c r="A10" s="8" t="s">
        <v>555</v>
      </c>
      <c r="B10" s="17">
        <f>COUNT('Raw Data'!$N$2:$N$251)</f>
        <v>250</v>
      </c>
    </row>
    <row r="12" spans="1:6" ht="15.5" x14ac:dyDescent="0.35">
      <c r="A12" s="45" t="s">
        <v>556</v>
      </c>
      <c r="B12" s="46"/>
      <c r="C12" s="46"/>
      <c r="D12" s="46"/>
      <c r="E12" s="46"/>
      <c r="F12" s="46"/>
    </row>
    <row r="13" spans="1:6" x14ac:dyDescent="0.35">
      <c r="A13" s="49"/>
      <c r="B13" s="49" t="s">
        <v>557</v>
      </c>
      <c r="C13" s="49" t="s">
        <v>558</v>
      </c>
      <c r="D13" s="49" t="s">
        <v>559</v>
      </c>
      <c r="E13" s="49" t="s">
        <v>560</v>
      </c>
      <c r="F13" s="49" t="s">
        <v>561</v>
      </c>
    </row>
    <row r="14" spans="1:6" x14ac:dyDescent="0.35">
      <c r="A14" s="8" t="s">
        <v>562</v>
      </c>
      <c r="B14" s="17">
        <v>2</v>
      </c>
      <c r="C14" s="32">
        <f>INDEX(LINEST('Raw Data'!$N$2:$N$251,'Raw Data'!$H$2:$I$251,TRUE,TRUE),5,1)</f>
        <v>228995145.93418038</v>
      </c>
      <c r="D14" s="32">
        <f>C14/B14</f>
        <v>114497572.96709019</v>
      </c>
      <c r="E14" s="32">
        <f>INDEX(LINEST('Raw Data'!$N$2:$N$251,'Raw Data'!$H$2:$I$251,TRUE,TRUE),4,1)</f>
        <v>776.33473567328497</v>
      </c>
      <c r="F14" s="33">
        <f>FDIST(E14,B14,B15)</f>
        <v>3.0322789780406021E-107</v>
      </c>
    </row>
    <row r="15" spans="1:6" x14ac:dyDescent="0.35">
      <c r="A15" s="8" t="s">
        <v>563</v>
      </c>
      <c r="B15" s="17">
        <f>INDEX(LINEST('Raw Data'!$N$2:$N$251,'Raw Data'!$H$2:$I$251,TRUE,TRUE),4,2)</f>
        <v>247</v>
      </c>
      <c r="C15" s="32">
        <f>INDEX(LINEST('Raw Data'!$N$2:$N$251,'Raw Data'!$H$2:$I$251,TRUE,TRUE),5,2)</f>
        <v>36428745.518316083</v>
      </c>
      <c r="D15" s="32">
        <f>C15/B15</f>
        <v>147484.79966929587</v>
      </c>
    </row>
    <row r="16" spans="1:6" x14ac:dyDescent="0.35">
      <c r="A16" s="8" t="s">
        <v>421</v>
      </c>
      <c r="B16" s="17">
        <f>B14+B15</f>
        <v>249</v>
      </c>
      <c r="C16" s="32">
        <f>C14+C15</f>
        <v>265423891.45249647</v>
      </c>
    </row>
    <row r="18" spans="1:7" ht="15.5" x14ac:dyDescent="0.35">
      <c r="A18" s="45" t="s">
        <v>564</v>
      </c>
      <c r="B18" s="46"/>
      <c r="C18" s="46"/>
      <c r="D18" s="46"/>
      <c r="E18" s="46"/>
      <c r="F18" s="46"/>
    </row>
    <row r="19" spans="1:7" x14ac:dyDescent="0.35">
      <c r="A19" s="49"/>
      <c r="B19" s="49" t="s">
        <v>564</v>
      </c>
      <c r="C19" s="49" t="s">
        <v>554</v>
      </c>
      <c r="D19" s="49" t="s">
        <v>565</v>
      </c>
      <c r="E19" s="49" t="s">
        <v>566</v>
      </c>
      <c r="F19" s="49" t="s">
        <v>567</v>
      </c>
      <c r="G19" s="49" t="s">
        <v>568</v>
      </c>
    </row>
    <row r="20" spans="1:7" x14ac:dyDescent="0.35">
      <c r="A20" s="8" t="s">
        <v>569</v>
      </c>
      <c r="B20" s="34">
        <f>INDEX(LINEST('Raw Data'!$N$2:$N$251,'Raw Data'!$H$2:$I$251,TRUE,TRUE),1,3)</f>
        <v>-931.80858592721211</v>
      </c>
      <c r="C20" s="34">
        <f>INDEX(LINEST('Raw Data'!$N$2:$N$251,'Raw Data'!$H$2:$I$251,TRUE,TRUE),2,3)</f>
        <v>64.176586128214524</v>
      </c>
      <c r="D20" s="31">
        <f>B20/C20</f>
        <v>-14.519447701153938</v>
      </c>
      <c r="E20" s="33">
        <f>TDIST(ABS(D20),$B$15,2)</f>
        <v>5.9491879084023646E-35</v>
      </c>
      <c r="F20" s="34">
        <f>B20-TINV(0.05,$B$15)*C20</f>
        <v>-1058.211736902633</v>
      </c>
      <c r="G20" s="34">
        <f>B20+TINV(0.05,$B$15)*C20</f>
        <v>-805.40543495179111</v>
      </c>
    </row>
    <row r="21" spans="1:7" x14ac:dyDescent="0.35">
      <c r="A21" s="8" t="s">
        <v>7</v>
      </c>
      <c r="B21" s="34">
        <f>INDEX(LINEST('Raw Data'!$N$2:$N$251,'Raw Data'!$H$2:$I$251,TRUE,TRUE),1,2)</f>
        <v>314.1458836929956</v>
      </c>
      <c r="C21" s="34">
        <f>INDEX(LINEST('Raw Data'!$N$2:$N$251,'Raw Data'!$H$2:$I$251,TRUE,TRUE),2,2)</f>
        <v>18.242562242139332</v>
      </c>
      <c r="D21" s="31">
        <f>B21/C21</f>
        <v>17.220491262314873</v>
      </c>
      <c r="E21" s="33">
        <f>TDIST(ABS(D21),$B$15,2)</f>
        <v>3.4020507945743832E-44</v>
      </c>
      <c r="F21" s="34">
        <f>B21-TINV(0.05,$B$15)*C21</f>
        <v>278.21506392852888</v>
      </c>
      <c r="G21" s="34">
        <f>B21+TINV(0.05,$B$15)*C21</f>
        <v>350.07670345746232</v>
      </c>
    </row>
    <row r="22" spans="1:7" x14ac:dyDescent="0.35">
      <c r="A22" s="8" t="s">
        <v>8</v>
      </c>
      <c r="B22" s="34">
        <f>INDEX(LINEST('Raw Data'!$N$2:$N$251,'Raw Data'!$H$2:$I$251,TRUE,TRUE),1,1)</f>
        <v>3.0416660405295799</v>
      </c>
      <c r="C22" s="34">
        <f>INDEX(LINEST('Raw Data'!$N$2:$N$251,'Raw Data'!$H$2:$I$251,TRUE,TRUE),2,1)</f>
        <v>8.8733343256966732E-2</v>
      </c>
      <c r="D22" s="31">
        <f>B22/C22</f>
        <v>34.278726901127655</v>
      </c>
      <c r="E22" s="33">
        <f>TDIST(ABS(D22),$B$15,2)</f>
        <v>7.2446245379651108E-96</v>
      </c>
      <c r="F22" s="34">
        <f>B22-TINV(0.05,$B$15)*C22</f>
        <v>2.8668955383739165</v>
      </c>
      <c r="G22" s="34">
        <f>B22+TINV(0.05,$B$15)*C22</f>
        <v>3.2164365426852433</v>
      </c>
    </row>
    <row r="24" spans="1:7" ht="15.5" x14ac:dyDescent="0.35">
      <c r="A24" s="45" t="s">
        <v>570</v>
      </c>
      <c r="B24" s="46"/>
      <c r="C24" s="46"/>
      <c r="D24" s="46"/>
      <c r="E24" s="46"/>
      <c r="F24" s="46"/>
    </row>
    <row r="25" spans="1:7" x14ac:dyDescent="0.35">
      <c r="A25" s="8" t="s">
        <v>571</v>
      </c>
      <c r="B25" s="27">
        <v>3</v>
      </c>
    </row>
    <row r="26" spans="1:7" x14ac:dyDescent="0.35">
      <c r="A26" s="8" t="s">
        <v>572</v>
      </c>
      <c r="B26" s="24">
        <v>249.99</v>
      </c>
    </row>
    <row r="27" spans="1:7" x14ac:dyDescent="0.35">
      <c r="A27" s="8" t="s">
        <v>573</v>
      </c>
      <c r="B27" s="9">
        <f>B20+B21*B25+B22*B26</f>
        <v>771.01515862376448</v>
      </c>
    </row>
    <row r="28" spans="1:7" x14ac:dyDescent="0.35">
      <c r="A28" s="8" t="s">
        <v>574</v>
      </c>
      <c r="B28" s="9">
        <f>B25*B26</f>
        <v>749.97</v>
      </c>
    </row>
    <row r="30" spans="1:7" x14ac:dyDescent="0.35">
      <c r="A30" s="40"/>
      <c r="B30" s="36"/>
      <c r="C30" s="36"/>
      <c r="D30" s="36"/>
      <c r="E30" s="36"/>
      <c r="F30" s="36"/>
      <c r="G30" s="36"/>
    </row>
    <row r="31" spans="1:7" x14ac:dyDescent="0.35">
      <c r="A31" s="36"/>
      <c r="B31" s="36"/>
      <c r="C31" s="36"/>
      <c r="D31" s="36"/>
      <c r="E31" s="36"/>
      <c r="F31" s="36"/>
      <c r="G31" s="36"/>
    </row>
    <row r="32" spans="1:7" x14ac:dyDescent="0.35">
      <c r="A32" s="36"/>
      <c r="B32" s="36"/>
      <c r="C32" s="36"/>
      <c r="D32" s="36"/>
      <c r="E32" s="36"/>
      <c r="F32" s="36"/>
      <c r="G32" s="36"/>
    </row>
    <row r="33" spans="1:1" x14ac:dyDescent="0.35">
      <c r="A33" s="25"/>
    </row>
  </sheetData>
  <mergeCells count="3">
    <mergeCell ref="A30:G32"/>
    <mergeCell ref="A2:F2"/>
    <mergeCell ref="A1:F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"/>
  <sheetViews>
    <sheetView showGridLines="0" workbookViewId="0">
      <selection activeCell="A76" sqref="A76"/>
    </sheetView>
  </sheetViews>
  <sheetFormatPr defaultRowHeight="14.5" x14ac:dyDescent="0.35"/>
  <sheetData>
    <row r="1" spans="1:20" ht="28" customHeight="1" x14ac:dyDescent="0.35">
      <c r="A1" s="43" t="s">
        <v>575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x14ac:dyDescent="0.35">
      <c r="A2" s="39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</row>
  </sheetData>
  <mergeCells count="2">
    <mergeCell ref="A1:T1"/>
    <mergeCell ref="A2:T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showGridLines="0" workbookViewId="0">
      <selection activeCell="G95" sqref="G95"/>
    </sheetView>
  </sheetViews>
  <sheetFormatPr defaultRowHeight="14.5" x14ac:dyDescent="0.35"/>
  <cols>
    <col min="1" max="1" width="22" customWidth="1"/>
    <col min="2" max="3" width="15" customWidth="1"/>
    <col min="4" max="5" width="14" customWidth="1"/>
    <col min="6" max="6" width="4" customWidth="1"/>
    <col min="7" max="7" width="14" customWidth="1"/>
    <col min="8" max="8" width="22" customWidth="1"/>
    <col min="9" max="10" width="14" customWidth="1"/>
    <col min="11" max="12" width="10" customWidth="1"/>
  </cols>
  <sheetData>
    <row r="1" spans="1:12" ht="28" customHeight="1" x14ac:dyDescent="0.35">
      <c r="A1" s="43" t="s">
        <v>576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35">
      <c r="A2" s="39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x14ac:dyDescent="0.35">
      <c r="A4" s="47" t="s">
        <v>408</v>
      </c>
      <c r="B4" s="48"/>
      <c r="C4" s="47" t="s">
        <v>577</v>
      </c>
      <c r="D4" s="48"/>
      <c r="E4" s="47" t="s">
        <v>578</v>
      </c>
      <c r="F4" s="48"/>
      <c r="G4" s="47" t="s">
        <v>419</v>
      </c>
      <c r="H4" s="48"/>
      <c r="I4" s="47" t="s">
        <v>412</v>
      </c>
      <c r="J4" s="48"/>
    </row>
    <row r="5" spans="1:12" ht="34" customHeight="1" x14ac:dyDescent="0.35">
      <c r="A5" s="51">
        <f>Analysis!B4</f>
        <v>229192.47000000032</v>
      </c>
      <c r="B5" s="52"/>
      <c r="C5" s="53">
        <f>Analysis!B5</f>
        <v>250</v>
      </c>
      <c r="D5" s="52"/>
      <c r="E5" s="53">
        <f>Analysis!B6</f>
        <v>753</v>
      </c>
      <c r="F5" s="52"/>
      <c r="G5" s="54">
        <f>Analysis!B7</f>
        <v>916.76988000000131</v>
      </c>
      <c r="H5" s="52"/>
      <c r="I5" s="53">
        <f>Analysis!B8</f>
        <v>50.000000000000021</v>
      </c>
      <c r="J5" s="52"/>
    </row>
    <row r="7" spans="1:12" ht="15.5" x14ac:dyDescent="0.35">
      <c r="A7" s="45" t="s">
        <v>579</v>
      </c>
      <c r="B7" s="46"/>
      <c r="C7" s="46"/>
      <c r="D7" s="46"/>
      <c r="E7" s="46"/>
      <c r="F7" s="46"/>
      <c r="G7" s="45" t="s">
        <v>580</v>
      </c>
      <c r="H7" s="46"/>
      <c r="I7" s="46"/>
      <c r="J7" s="46"/>
      <c r="K7" s="46"/>
      <c r="L7" s="46"/>
    </row>
    <row r="8" spans="1:12" x14ac:dyDescent="0.35">
      <c r="A8" s="49" t="s">
        <v>533</v>
      </c>
      <c r="B8" s="49" t="str">
        <f>Analysis!F54</f>
        <v>Mar-25</v>
      </c>
      <c r="C8" s="49" t="str">
        <f>Analysis!F53</f>
        <v>Feb-25</v>
      </c>
      <c r="D8" s="49" t="s">
        <v>581</v>
      </c>
      <c r="G8" s="49" t="s">
        <v>443</v>
      </c>
      <c r="H8" s="49" t="s">
        <v>582</v>
      </c>
      <c r="I8" s="49" t="s">
        <v>415</v>
      </c>
      <c r="J8" s="49" t="s">
        <v>583</v>
      </c>
    </row>
    <row r="9" spans="1:12" x14ac:dyDescent="0.35">
      <c r="A9" s="8" t="s">
        <v>415</v>
      </c>
      <c r="B9" s="35">
        <f>Analysis!B54</f>
        <v>19899.379999999997</v>
      </c>
      <c r="C9" s="35">
        <f>Analysis!B53</f>
        <v>16069.379999999997</v>
      </c>
      <c r="D9" s="12">
        <f>B9/C9-1</f>
        <v>0.23834149170658736</v>
      </c>
      <c r="G9" s="17">
        <v>1</v>
      </c>
      <c r="H9" s="11" t="str">
        <f>'Customer Analysis'!B63</f>
        <v>Mark Carter</v>
      </c>
      <c r="I9" s="35">
        <f>'Customer Analysis'!C63</f>
        <v>15659.65</v>
      </c>
      <c r="J9" s="11" t="str">
        <f>'Customer Analysis'!E63</f>
        <v>High-Value</v>
      </c>
    </row>
    <row r="10" spans="1:12" x14ac:dyDescent="0.35">
      <c r="A10" s="8" t="s">
        <v>416</v>
      </c>
      <c r="B10" s="10">
        <f>Analysis!C54</f>
        <v>19</v>
      </c>
      <c r="C10" s="10">
        <f>Analysis!C53</f>
        <v>20</v>
      </c>
      <c r="D10" s="12">
        <f>B10/C10-1</f>
        <v>-5.0000000000000044E-2</v>
      </c>
      <c r="G10" s="17">
        <v>2</v>
      </c>
      <c r="H10" s="11" t="str">
        <f>'Customer Analysis'!B64</f>
        <v>Edward Mitchell</v>
      </c>
      <c r="I10" s="35">
        <f>'Customer Analysis'!C64</f>
        <v>11919.769999999999</v>
      </c>
      <c r="J10" s="11" t="str">
        <f>'Customer Analysis'!E64</f>
        <v>High-Value</v>
      </c>
    </row>
    <row r="11" spans="1:12" x14ac:dyDescent="0.35">
      <c r="A11" s="8" t="s">
        <v>417</v>
      </c>
      <c r="B11" s="10">
        <f>Analysis!D54</f>
        <v>62</v>
      </c>
      <c r="C11" s="10">
        <f>Analysis!D53</f>
        <v>62</v>
      </c>
      <c r="D11" s="12">
        <f>B11/C11-1</f>
        <v>0</v>
      </c>
      <c r="G11" s="17">
        <v>3</v>
      </c>
      <c r="H11" s="11" t="str">
        <f>'Customer Analysis'!B65</f>
        <v>Barbara Young</v>
      </c>
      <c r="I11" s="35">
        <f>'Customer Analysis'!C65</f>
        <v>10649.8</v>
      </c>
      <c r="J11" s="11" t="str">
        <f>'Customer Analysis'!E65</f>
        <v>High-Value</v>
      </c>
    </row>
    <row r="12" spans="1:12" x14ac:dyDescent="0.35">
      <c r="A12" s="8" t="s">
        <v>419</v>
      </c>
      <c r="B12" s="9">
        <f>Analysis!B54/Analysis!C54</f>
        <v>1047.3357894736841</v>
      </c>
      <c r="C12" s="9">
        <f>Analysis!B53/Analysis!C53</f>
        <v>803.46899999999982</v>
      </c>
      <c r="D12" s="12">
        <f>B12/C12-1</f>
        <v>0.30351735969114468</v>
      </c>
      <c r="G12" s="17">
        <v>4</v>
      </c>
      <c r="H12" s="11" t="str">
        <f>'Customer Analysis'!B66</f>
        <v>Patricia Moore</v>
      </c>
      <c r="I12" s="35">
        <f>'Customer Analysis'!C66</f>
        <v>9799.73</v>
      </c>
      <c r="J12" s="11" t="str">
        <f>'Customer Analysis'!E66</f>
        <v>High-Value</v>
      </c>
    </row>
    <row r="13" spans="1:12" x14ac:dyDescent="0.35">
      <c r="G13" s="17">
        <v>5</v>
      </c>
      <c r="H13" s="11" t="str">
        <f>'Customer Analysis'!B67</f>
        <v>Paul Baker</v>
      </c>
      <c r="I13" s="35">
        <f>'Customer Analysis'!C67</f>
        <v>8309.739999999998</v>
      </c>
      <c r="J13" s="11" t="str">
        <f>'Customer Analysis'!E67</f>
        <v>High-Value</v>
      </c>
    </row>
    <row r="14" spans="1:12" ht="15.5" x14ac:dyDescent="0.35">
      <c r="A14" s="45" t="s">
        <v>584</v>
      </c>
      <c r="B14" s="46"/>
      <c r="C14" s="46"/>
      <c r="D14" s="46"/>
      <c r="E14" s="46"/>
      <c r="F14" s="46"/>
      <c r="G14" s="45" t="s">
        <v>585</v>
      </c>
      <c r="H14" s="46"/>
      <c r="I14" s="46"/>
      <c r="J14" s="46"/>
      <c r="K14" s="46"/>
      <c r="L14" s="46"/>
    </row>
    <row r="15" spans="1:12" x14ac:dyDescent="0.35">
      <c r="A15" s="49" t="s">
        <v>10</v>
      </c>
      <c r="B15" s="49" t="s">
        <v>415</v>
      </c>
      <c r="C15" s="49" t="s">
        <v>586</v>
      </c>
      <c r="D15" s="49" t="s">
        <v>587</v>
      </c>
      <c r="G15" s="49" t="s">
        <v>443</v>
      </c>
      <c r="H15" s="49" t="s">
        <v>588</v>
      </c>
      <c r="I15" s="49" t="s">
        <v>417</v>
      </c>
      <c r="J15" s="49" t="s">
        <v>415</v>
      </c>
    </row>
    <row r="16" spans="1:12" x14ac:dyDescent="0.35">
      <c r="A16" s="11" t="str">
        <f>Analysis!A13</f>
        <v>Central</v>
      </c>
      <c r="B16" s="35">
        <f>Analysis!B13</f>
        <v>41288.340000000018</v>
      </c>
      <c r="C16" s="12">
        <f>Analysis!E13</f>
        <v>0.18014701791904422</v>
      </c>
      <c r="D16" s="13">
        <f>Analysis!G13</f>
        <v>0.90073508959522108</v>
      </c>
      <c r="G16" s="17">
        <v>1</v>
      </c>
      <c r="H16" s="11" t="str">
        <f>Analysis!B84</f>
        <v>Bookshelf</v>
      </c>
      <c r="I16" s="10">
        <f>Analysis!C84</f>
        <v>102</v>
      </c>
      <c r="J16" s="35">
        <f>Analysis!D84</f>
        <v>15298.979999999994</v>
      </c>
    </row>
    <row r="17" spans="1:10" x14ac:dyDescent="0.35">
      <c r="A17" s="11" t="str">
        <f>Analysis!A14</f>
        <v>East</v>
      </c>
      <c r="B17" s="35">
        <f>Analysis!B14</f>
        <v>59288.389999999992</v>
      </c>
      <c r="C17" s="12">
        <f>Analysis!E14</f>
        <v>0.25868384768487368</v>
      </c>
      <c r="D17" s="13">
        <f>Analysis!G14</f>
        <v>1.2934192384243683</v>
      </c>
      <c r="G17" s="17">
        <v>2</v>
      </c>
      <c r="H17" s="11" t="str">
        <f>Analysis!B85</f>
        <v>Smartphone</v>
      </c>
      <c r="I17" s="10">
        <f>Analysis!C85</f>
        <v>96</v>
      </c>
      <c r="J17" s="35">
        <f>Analysis!D85</f>
        <v>67199.039999999994</v>
      </c>
    </row>
    <row r="18" spans="1:10" x14ac:dyDescent="0.35">
      <c r="A18" s="11" t="str">
        <f>Analysis!A15</f>
        <v>North</v>
      </c>
      <c r="B18" s="35">
        <f>Analysis!B15</f>
        <v>50808.310000000012</v>
      </c>
      <c r="C18" s="12">
        <f>Analysis!E15</f>
        <v>0.221684028275449</v>
      </c>
      <c r="D18" s="13">
        <f>Analysis!G15</f>
        <v>1.108420141377245</v>
      </c>
      <c r="G18" s="17">
        <v>3</v>
      </c>
      <c r="H18" s="11" t="str">
        <f>Analysis!B86</f>
        <v>Keyboard</v>
      </c>
      <c r="I18" s="10">
        <f>Analysis!C86</f>
        <v>89</v>
      </c>
      <c r="J18" s="35">
        <f>Analysis!D86</f>
        <v>8009.1099999999969</v>
      </c>
    </row>
    <row r="19" spans="1:10" x14ac:dyDescent="0.35">
      <c r="A19" s="11" t="str">
        <f>Analysis!A16</f>
        <v>South</v>
      </c>
      <c r="B19" s="35">
        <f>Analysis!B16</f>
        <v>36398.750000000007</v>
      </c>
      <c r="C19" s="12">
        <f>Analysis!E16</f>
        <v>0.1588130273215346</v>
      </c>
      <c r="D19" s="13">
        <f>Analysis!G16</f>
        <v>0.79406513660767297</v>
      </c>
      <c r="G19" s="17">
        <v>4</v>
      </c>
      <c r="H19" s="11" t="str">
        <f>Analysis!B87</f>
        <v>Monitor</v>
      </c>
      <c r="I19" s="10">
        <f>Analysis!C87</f>
        <v>88</v>
      </c>
      <c r="J19" s="35">
        <f>Analysis!D87</f>
        <v>21999.119999999999</v>
      </c>
    </row>
    <row r="20" spans="1:10" x14ac:dyDescent="0.35">
      <c r="A20" s="11" t="str">
        <f>Analysis!A17</f>
        <v>West</v>
      </c>
      <c r="B20" s="35">
        <f>Analysis!B17</f>
        <v>41408.680000000015</v>
      </c>
      <c r="C20" s="12">
        <f>Analysis!E17</f>
        <v>0.18067207879909844</v>
      </c>
      <c r="D20" s="13">
        <f>Analysis!G17</f>
        <v>0.90336039399549217</v>
      </c>
      <c r="G20" s="17">
        <v>5</v>
      </c>
      <c r="H20" s="11" t="str">
        <f>Analysis!B88</f>
        <v>Blender</v>
      </c>
      <c r="I20" s="10">
        <f>Analysis!C88</f>
        <v>87</v>
      </c>
      <c r="J20" s="35">
        <f>Analysis!D88</f>
        <v>5219.1299999999974</v>
      </c>
    </row>
  </sheetData>
  <mergeCells count="12">
    <mergeCell ref="A1:L1"/>
    <mergeCell ref="C5:D5"/>
    <mergeCell ref="A5:B5"/>
    <mergeCell ref="G5:H5"/>
    <mergeCell ref="E5:F5"/>
    <mergeCell ref="I5:J5"/>
    <mergeCell ref="C4:D4"/>
    <mergeCell ref="A4:B4"/>
    <mergeCell ref="G4:H4"/>
    <mergeCell ref="A2:L2"/>
    <mergeCell ref="E4:F4"/>
    <mergeCell ref="I4:J4"/>
  </mergeCells>
  <conditionalFormatting sqref="B16:B20">
    <cfRule type="dataBar" priority="3">
      <dataBar>
        <cfvo type="num" val="0"/>
        <cfvo type="max"/>
        <color rgb="FF5B9BD5"/>
      </dataBar>
    </cfRule>
  </conditionalFormatting>
  <conditionalFormatting sqref="D9:D12">
    <cfRule type="iconSet" priority="1">
      <iconSet iconSet="3Arrows">
        <cfvo type="num" val="-100"/>
        <cfvo type="num" val="0"/>
        <cfvo type="num" val="1E-4"/>
      </iconSet>
    </cfRule>
  </conditionalFormatting>
  <conditionalFormatting sqref="D16:D20">
    <cfRule type="iconSet" priority="2">
      <iconSet iconSet="3Arrows">
        <cfvo type="num" val="0"/>
        <cfvo type="num" val="0.95"/>
        <cfvo type="num" val="1.05"/>
      </iconSet>
    </cfRule>
  </conditionalFormatting>
  <conditionalFormatting sqref="J9:J13">
    <cfRule type="cellIs" dxfId="0" priority="4" operator="equal">
      <formula>"High-Value"</formula>
    </cfRule>
  </conditionalFormatting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showGridLines="0" tabSelected="1" topLeftCell="A34" workbookViewId="0">
      <selection activeCell="B34" sqref="B34:H34"/>
    </sheetView>
  </sheetViews>
  <sheetFormatPr defaultRowHeight="14.5" x14ac:dyDescent="0.35"/>
  <cols>
    <col min="1" max="1" width="26" customWidth="1"/>
    <col min="2" max="2" width="16" customWidth="1"/>
    <col min="3" max="3" width="14" customWidth="1"/>
    <col min="4" max="4" width="4" customWidth="1"/>
    <col min="5" max="5" width="20" customWidth="1"/>
    <col min="6" max="6" width="12" customWidth="1"/>
    <col min="7" max="8" width="14" customWidth="1"/>
  </cols>
  <sheetData>
    <row r="1" spans="1:8" ht="28" customHeight="1" x14ac:dyDescent="0.35">
      <c r="A1" s="43" t="s">
        <v>589</v>
      </c>
      <c r="B1" s="44"/>
      <c r="C1" s="44"/>
      <c r="D1" s="44"/>
      <c r="E1" s="44"/>
      <c r="F1" s="44"/>
      <c r="G1" s="44"/>
      <c r="H1" s="44"/>
    </row>
    <row r="2" spans="1:8" x14ac:dyDescent="0.35">
      <c r="A2" s="39"/>
      <c r="B2" s="36"/>
      <c r="C2" s="36"/>
      <c r="D2" s="36"/>
      <c r="E2" s="36"/>
      <c r="F2" s="36"/>
      <c r="G2" s="36"/>
      <c r="H2" s="36"/>
    </row>
    <row r="3" spans="1:8" ht="15.5" x14ac:dyDescent="0.35">
      <c r="A3" s="45" t="s">
        <v>590</v>
      </c>
      <c r="B3" s="46"/>
      <c r="C3" s="46"/>
      <c r="D3" s="46"/>
      <c r="E3" s="46"/>
      <c r="F3" s="46"/>
      <c r="G3" s="46"/>
      <c r="H3" s="46"/>
    </row>
    <row r="4" spans="1:8" x14ac:dyDescent="0.35">
      <c r="A4" s="8" t="s">
        <v>408</v>
      </c>
      <c r="B4" s="9">
        <f>Analysis!B4</f>
        <v>229192.47000000032</v>
      </c>
    </row>
    <row r="5" spans="1:8" x14ac:dyDescent="0.35">
      <c r="A5" s="8" t="s">
        <v>409</v>
      </c>
      <c r="B5" s="10">
        <f>Analysis!B5</f>
        <v>250</v>
      </c>
    </row>
    <row r="6" spans="1:8" x14ac:dyDescent="0.35">
      <c r="A6" s="8" t="s">
        <v>411</v>
      </c>
      <c r="B6" s="9">
        <f>Analysis!B7</f>
        <v>916.76988000000131</v>
      </c>
    </row>
    <row r="8" spans="1:8" x14ac:dyDescent="0.35">
      <c r="A8" s="49" t="s">
        <v>591</v>
      </c>
      <c r="B8" s="49" t="s">
        <v>415</v>
      </c>
      <c r="C8" s="49" t="s">
        <v>418</v>
      </c>
      <c r="E8" s="49" t="s">
        <v>592</v>
      </c>
      <c r="F8" s="49" t="s">
        <v>417</v>
      </c>
      <c r="G8" s="49" t="s">
        <v>415</v>
      </c>
    </row>
    <row r="9" spans="1:8" x14ac:dyDescent="0.35">
      <c r="A9" s="11" t="str">
        <f>'Customer Analysis'!B63</f>
        <v>Mark Carter</v>
      </c>
      <c r="B9" s="9">
        <f>'Customer Analysis'!C63</f>
        <v>15659.65</v>
      </c>
      <c r="C9" s="12">
        <f>'Customer Analysis'!F63</f>
        <v>6.8325324998679049E-2</v>
      </c>
      <c r="E9" s="11" t="str">
        <f>Analysis!B84</f>
        <v>Bookshelf</v>
      </c>
      <c r="F9" s="10">
        <f>Analysis!C84</f>
        <v>102</v>
      </c>
      <c r="G9" s="9">
        <f>Analysis!D84</f>
        <v>15298.979999999994</v>
      </c>
    </row>
    <row r="10" spans="1:8" x14ac:dyDescent="0.35">
      <c r="A10" s="11" t="str">
        <f>'Customer Analysis'!B64</f>
        <v>Edward Mitchell</v>
      </c>
      <c r="B10" s="9">
        <f>'Customer Analysis'!C64</f>
        <v>11919.769999999999</v>
      </c>
      <c r="C10" s="12">
        <f>'Customer Analysis'!F64</f>
        <v>5.2007685941863613E-2</v>
      </c>
      <c r="E10" s="11" t="str">
        <f>Analysis!B85</f>
        <v>Smartphone</v>
      </c>
      <c r="F10" s="10">
        <f>Analysis!C85</f>
        <v>96</v>
      </c>
      <c r="G10" s="9">
        <f>Analysis!D85</f>
        <v>67199.039999999994</v>
      </c>
    </row>
    <row r="11" spans="1:8" x14ac:dyDescent="0.35">
      <c r="A11" s="11" t="str">
        <f>'Customer Analysis'!B65</f>
        <v>Barbara Young</v>
      </c>
      <c r="B11" s="9">
        <f>'Customer Analysis'!C65</f>
        <v>10649.8</v>
      </c>
      <c r="C11" s="12">
        <f>'Customer Analysis'!F65</f>
        <v>4.6466622572722389E-2</v>
      </c>
      <c r="E11" s="11" t="str">
        <f>Analysis!B86</f>
        <v>Keyboard</v>
      </c>
      <c r="F11" s="10">
        <f>Analysis!C86</f>
        <v>89</v>
      </c>
      <c r="G11" s="9">
        <f>Analysis!D86</f>
        <v>8009.1099999999969</v>
      </c>
    </row>
    <row r="12" spans="1:8" x14ac:dyDescent="0.35">
      <c r="A12" s="11" t="str">
        <f>'Customer Analysis'!B66</f>
        <v>Patricia Moore</v>
      </c>
      <c r="B12" s="9">
        <f>'Customer Analysis'!C66</f>
        <v>9799.73</v>
      </c>
      <c r="C12" s="12">
        <f>'Customer Analysis'!F66</f>
        <v>4.2757643826605643E-2</v>
      </c>
      <c r="E12" s="11" t="str">
        <f>Analysis!B87</f>
        <v>Monitor</v>
      </c>
      <c r="F12" s="10">
        <f>Analysis!C87</f>
        <v>88</v>
      </c>
      <c r="G12" s="9">
        <f>Analysis!D87</f>
        <v>21999.119999999999</v>
      </c>
    </row>
    <row r="13" spans="1:8" x14ac:dyDescent="0.35">
      <c r="A13" s="11" t="str">
        <f>'Customer Analysis'!B67</f>
        <v>Paul Baker</v>
      </c>
      <c r="B13" s="9">
        <f>'Customer Analysis'!C67</f>
        <v>8309.739999999998</v>
      </c>
      <c r="C13" s="12">
        <f>'Customer Analysis'!F67</f>
        <v>3.625660127490226E-2</v>
      </c>
      <c r="E13" s="11" t="str">
        <f>Analysis!B88</f>
        <v>Blender</v>
      </c>
      <c r="F13" s="10">
        <f>Analysis!C88</f>
        <v>87</v>
      </c>
      <c r="G13" s="9">
        <f>Analysis!D88</f>
        <v>5219.1299999999974</v>
      </c>
    </row>
    <row r="16" spans="1:8" x14ac:dyDescent="0.35">
      <c r="A16" s="49" t="s">
        <v>593</v>
      </c>
      <c r="B16" s="49" t="s">
        <v>415</v>
      </c>
      <c r="C16" s="49" t="s">
        <v>586</v>
      </c>
    </row>
    <row r="17" spans="1:8" x14ac:dyDescent="0.35">
      <c r="A17" s="11" t="str">
        <f>Analysis!A13</f>
        <v>Central</v>
      </c>
      <c r="B17" s="9">
        <f>Analysis!B13</f>
        <v>41288.340000000018</v>
      </c>
      <c r="C17" s="12">
        <f>Analysis!E13</f>
        <v>0.18014701791904422</v>
      </c>
    </row>
    <row r="18" spans="1:8" x14ac:dyDescent="0.35">
      <c r="A18" s="11" t="str">
        <f>Analysis!A14</f>
        <v>East</v>
      </c>
      <c r="B18" s="9">
        <f>Analysis!B14</f>
        <v>59288.389999999992</v>
      </c>
      <c r="C18" s="12">
        <f>Analysis!E14</f>
        <v>0.25868384768487368</v>
      </c>
    </row>
    <row r="19" spans="1:8" x14ac:dyDescent="0.35">
      <c r="A19" s="11" t="str">
        <f>Analysis!A15</f>
        <v>North</v>
      </c>
      <c r="B19" s="9">
        <f>Analysis!B15</f>
        <v>50808.310000000012</v>
      </c>
      <c r="C19" s="12">
        <f>Analysis!E15</f>
        <v>0.221684028275449</v>
      </c>
    </row>
    <row r="20" spans="1:8" x14ac:dyDescent="0.35">
      <c r="A20" s="11" t="str">
        <f>Analysis!A16</f>
        <v>South</v>
      </c>
      <c r="B20" s="9">
        <f>Analysis!B16</f>
        <v>36398.750000000007</v>
      </c>
      <c r="C20" s="12">
        <f>Analysis!E16</f>
        <v>0.1588130273215346</v>
      </c>
    </row>
    <row r="21" spans="1:8" x14ac:dyDescent="0.35">
      <c r="A21" s="11" t="str">
        <f>Analysis!A17</f>
        <v>West</v>
      </c>
      <c r="B21" s="9">
        <f>Analysis!B17</f>
        <v>41408.680000000015</v>
      </c>
      <c r="C21" s="12">
        <f>Analysis!E17</f>
        <v>0.18067207879909844</v>
      </c>
    </row>
    <row r="23" spans="1:8" ht="15.5" x14ac:dyDescent="0.35">
      <c r="A23" s="45" t="s">
        <v>594</v>
      </c>
      <c r="B23" s="46"/>
      <c r="C23" s="46"/>
      <c r="D23" s="46"/>
      <c r="E23" s="46"/>
      <c r="F23" s="46"/>
      <c r="G23" s="46"/>
      <c r="H23" s="46"/>
    </row>
    <row r="24" spans="1:8" ht="46" customHeight="1" x14ac:dyDescent="0.35">
      <c r="A24" s="2" t="s">
        <v>595</v>
      </c>
      <c r="B24" s="37" t="str">
        <f>"Between "&amp;TEXT(DateTime_Filter!B7,"dd-mmm-yyyy")&amp;" and "&amp;TEXT(DateTime_Filter!B8,"dd-mmm-yyyy")&amp;", the business recorded "&amp;TEXT(Analysis!B5,"#,##0")&amp;" transactions worth "&amp;TEXT(Analysis!B4,"$#,##0")&amp;" from "&amp;Analysis!B8&amp;" customers, with an average order value of "&amp;TEXT(Analysis!B7,"$#,##0")&amp;"."</f>
        <v>Between 11-Apr-2024 and 11-Apr-2025, the business recorded 250 transactions worth $2,29,192 from 50 customers, with an average order value of $917.</v>
      </c>
      <c r="C24" s="38"/>
      <c r="D24" s="38"/>
      <c r="E24" s="38"/>
      <c r="F24" s="38"/>
      <c r="G24" s="38"/>
      <c r="H24" s="38"/>
    </row>
    <row r="25" spans="1:8" ht="46" customHeight="1" x14ac:dyDescent="0.35">
      <c r="A25" s="2" t="s">
        <v>596</v>
      </c>
      <c r="B25" s="37" t="str">
        <f>"The strongest region is "&amp;INDEX(Analysis!$A$13:$A$17,MATCH(MAX(Analysis!$B$13:$B$17),Analysis!$B$13:$B$17,0))&amp;" with "&amp;TEXT(MAX(Analysis!$B$13:$B$17),"$#,##0")&amp;" ("&amp;TEXT(MAX(Analysis!$B$13:$B$17)/Analysis!B4,"0.0%")&amp;" of revenue); the weakest is "&amp;INDEX(Analysis!$A$13:$A$17,MATCH(MIN(Analysis!$B$13:$B$17),Analysis!$B$13:$B$17,0))&amp;" with "&amp;TEXT(MIN(Analysis!$B$13:$B$17),"$#,##0")&amp;"."</f>
        <v>The strongest region is East with $59,288 (25.9% of revenue); the weakest is South with $36,399.</v>
      </c>
      <c r="C25" s="38"/>
      <c r="D25" s="38"/>
      <c r="E25" s="38"/>
      <c r="F25" s="38"/>
      <c r="G25" s="38"/>
      <c r="H25" s="38"/>
    </row>
    <row r="26" spans="1:8" ht="46" customHeight="1" x14ac:dyDescent="0.35">
      <c r="A26" s="2" t="s">
        <v>597</v>
      </c>
      <c r="B26" s="37" t="str">
        <f>INDEX(Analysis!$A$22:$A$24,MATCH(MAX(Analysis!$B$22:$B$24),Analysis!$B$22:$B$24,0))&amp;" is the revenue driver at "&amp;TEXT(MAX(Analysis!$B$22:$B$24)/Analysis!B4,"0.0%")&amp;" of sales, while "&amp;INDEX(Analysis!$A$22:$A$24,MATCH(MIN(Analysis!$B$22:$B$24),Analysis!$B$22:$B$24,0))&amp;" contributes only "&amp;TEXT(MIN(Analysis!$B$22:$B$24)/Analysis!B4,"0.0%")&amp;"."</f>
        <v>Electronics is the revenue driver at 74.9% of sales, while Appliances contributes only 3.6%.</v>
      </c>
      <c r="C26" s="38"/>
      <c r="D26" s="38"/>
      <c r="E26" s="38"/>
      <c r="F26" s="38"/>
      <c r="G26" s="38"/>
      <c r="H26" s="38"/>
    </row>
    <row r="27" spans="1:8" ht="46" customHeight="1" x14ac:dyDescent="0.35">
      <c r="A27" s="2" t="s">
        <v>598</v>
      </c>
      <c r="B27" s="37" t="str">
        <f>"By units, "&amp;Analysis!B76&amp;" is the best seller ("&amp;Analysis!C76&amp;" units) while "&amp;Analysis!B77&amp;" earns the most revenue ("&amp;TEXT(Analysis!C77,"$#,##0")&amp;"). The most frequently ordered product is "&amp;Analysis!B75&amp;" ("&amp;Analysis!C75&amp;" orders)."</f>
        <v>By units, Bookshelf is the best seller (102 units) while Laptop earns the most revenue ($67,499). The most frequently ordered product is Bookshelf (35 orders).</v>
      </c>
      <c r="C27" s="38"/>
      <c r="D27" s="38"/>
      <c r="E27" s="38"/>
      <c r="F27" s="38"/>
      <c r="G27" s="38"/>
      <c r="H27" s="38"/>
    </row>
    <row r="28" spans="1:8" ht="46" customHeight="1" x14ac:dyDescent="0.35">
      <c r="A28" s="2" t="s">
        <v>599</v>
      </c>
      <c r="B28" s="37" t="str">
        <f>"Top customer "&amp;'Customer Analysis'!B63&amp;" generated "&amp;TEXT('Customer Analysis'!C63,"$#,##0")&amp;". The "&amp;'Customer Analysis'!I63&amp;" High-Value customers bring "&amp;TEXT('Customer Analysis'!K63,"0.0%")&amp;" of total revenue, so retention of this small group matters most."</f>
        <v>Top customer Mark Carter generated $15,660. The 10 High-Value customers bring 41.0% of total revenue, so retention of this small group matters most.</v>
      </c>
      <c r="C28" s="38"/>
      <c r="D28" s="38"/>
      <c r="E28" s="38"/>
      <c r="F28" s="38"/>
      <c r="G28" s="38"/>
      <c r="H28" s="38"/>
    </row>
    <row r="29" spans="1:8" ht="46" customHeight="1" x14ac:dyDescent="0.35">
      <c r="A29" s="2" t="s">
        <v>600</v>
      </c>
      <c r="B29" s="37" t="str">
        <f>"The best month was "&amp;INDEX(Analysis!$F$43:$F$55,MATCH(MAX(Analysis!$B$43:$B$55),Analysis!$B$43:$B$55,0))&amp;" ("&amp;TEXT(MAX(Analysis!$B$43:$B$55),"$#,##0")&amp;"). Last complete month ("&amp;Analysis!F54&amp;") revenue changed "&amp;TEXT(Dashboard!D9,"+0.0%;-0.0%")&amp;" versus "&amp;Analysis!F53&amp;"."</f>
        <v>The best month was Jan-25 ($25,799). Last complete month (Mar-25) revenue changed +23.8% versus Feb-25.</v>
      </c>
      <c r="C29" s="38"/>
      <c r="D29" s="38"/>
      <c r="E29" s="38"/>
      <c r="F29" s="38"/>
      <c r="G29" s="38"/>
      <c r="H29" s="38"/>
    </row>
    <row r="30" spans="1:8" ht="46" customHeight="1" x14ac:dyDescent="0.35">
      <c r="A30" s="2" t="s">
        <v>601</v>
      </c>
      <c r="B30" s="37" t="str">
        <f>"Customers prefer "&amp;INDEX(Analysis!$A$60:$A$63,MATCH(MAX(Analysis!$B$60:$B$63),Analysis!$B$60:$B$63,0))&amp;" ("&amp;TEXT(MAX(Analysis!$B$60:$B$63)/Analysis!B4,"0.0%")&amp;" of revenue); the least used is "&amp;INDEX(Analysis!$A$60:$A$63,MATCH(MIN(Analysis!$B$60:$B$63),Analysis!$B$60:$B$63,0))&amp;"."</f>
        <v>Customers prefer Credit Card (26.8% of revenue); the least used is Debit Card.</v>
      </c>
      <c r="C30" s="38"/>
      <c r="D30" s="38"/>
      <c r="E30" s="38"/>
      <c r="F30" s="38"/>
      <c r="G30" s="38"/>
      <c r="H30" s="38"/>
    </row>
    <row r="31" spans="1:8" ht="46" customHeight="1" x14ac:dyDescent="0.35">
      <c r="A31" s="2" t="s">
        <v>602</v>
      </c>
      <c r="B31" s="37" t="str">
        <f>"Repeat purchases make up "&amp;TEXT(Analysis!B79/Analysis!B5,"0.0%")&amp;" of all transactions; the most repeated customer is "&amp;Analysis!B78&amp;" with "&amp;Analysis!C78&amp;" purchases."</f>
        <v>Repeat purchases make up 80.0% of all transactions; the most repeated customer is Mark Carter with 12 purchases.</v>
      </c>
      <c r="C31" s="38"/>
      <c r="D31" s="38"/>
      <c r="E31" s="38"/>
      <c r="F31" s="38"/>
      <c r="G31" s="38"/>
      <c r="H31" s="38"/>
    </row>
    <row r="32" spans="1:8" ht="46" customHeight="1" x14ac:dyDescent="0.35">
      <c r="A32" s="2" t="s">
        <v>603</v>
      </c>
      <c r="B32" s="37" t="str">
        <f>"Quantity and Unit_Price explain "&amp;TEXT(Regression!B7,"0.0%")&amp;" of the variation in order value; each extra unit adds about "&amp;TEXT(Regression!B21,"$#,##0")&amp;" per order (Significance F = "&amp;TEXT(Regression!F14,"0.0E+00")&amp;")."</f>
        <v>Quantity and Unit_Price explain 86.3% of the variation in order value; each extra unit adds about $314 per order (Significance F = 3.0E-107).</v>
      </c>
      <c r="C32" s="38"/>
      <c r="D32" s="38"/>
      <c r="E32" s="38"/>
      <c r="F32" s="38"/>
      <c r="G32" s="38"/>
      <c r="H32" s="38"/>
    </row>
    <row r="33" spans="1:8" ht="46" customHeight="1" x14ac:dyDescent="0.35">
      <c r="A33" s="2" t="s">
        <v>604</v>
      </c>
      <c r="B33" s="37" t="str">
        <f>"In the Best scenario, revenue becomes "&amp;TEXT('What-If'!C16,"$#,##0")&amp;" and profit "&amp;TEXT('What-If'!C18,"$#,##0")&amp;" ("&amp;TEXT('What-If'!C21,"+0.0%;-0.0%")&amp;" vs base); in the Worst scenario profit is "&amp;TEXT('What-If'!D18,"$#,##0")&amp;". To reach +"&amp;TEXT('What-If'!B24,"0%")&amp;" revenue Goal Seek needs a volume change of "&amp;TEXT('What-If'!B28,"0.0%")&amp;"."</f>
        <v>In the Best scenario, revenue becomes $2,59,423 and profit $82,945 (+20.6% vs base); in the Worst scenario profit is $39,687. To reach +15% revenue Goal Seek needs a volume change of 11.8%.</v>
      </c>
      <c r="C33" s="38"/>
      <c r="D33" s="38"/>
      <c r="E33" s="38"/>
      <c r="F33" s="38"/>
      <c r="G33" s="38"/>
      <c r="H33" s="38"/>
    </row>
    <row r="34" spans="1:8" ht="46" customHeight="1" x14ac:dyDescent="0.35">
      <c r="A34" s="2" t="s">
        <v>605</v>
      </c>
      <c r="B34" s="37" t="s">
        <v>606</v>
      </c>
      <c r="C34" s="38"/>
      <c r="D34" s="38"/>
      <c r="E34" s="38"/>
      <c r="F34" s="38"/>
      <c r="G34" s="38"/>
      <c r="H34" s="38"/>
    </row>
  </sheetData>
  <mergeCells count="13">
    <mergeCell ref="B33:H33"/>
    <mergeCell ref="B25:H25"/>
    <mergeCell ref="B34:H34"/>
    <mergeCell ref="B28:H28"/>
    <mergeCell ref="A1:H1"/>
    <mergeCell ref="B32:H32"/>
    <mergeCell ref="B26:H26"/>
    <mergeCell ref="B27:H27"/>
    <mergeCell ref="A2:H2"/>
    <mergeCell ref="B31:H31"/>
    <mergeCell ref="B24:H24"/>
    <mergeCell ref="B30:H30"/>
    <mergeCell ref="B29:H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Analysis</vt:lpstr>
      <vt:lpstr>Customer Analysis</vt:lpstr>
      <vt:lpstr>DateTime_Filter</vt:lpstr>
      <vt:lpstr>What-If</vt:lpstr>
      <vt:lpstr>Regression</vt:lpstr>
      <vt:lpstr>Visualizations</vt:lpstr>
      <vt:lpstr>Dashboard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BHAVIKA THADANI</cp:lastModifiedBy>
  <dcterms:created xsi:type="dcterms:W3CDTF">2026-10-29T02:56:17Z</dcterms:created>
  <dcterms:modified xsi:type="dcterms:W3CDTF">2026-10-29T17:17:10Z</dcterms:modified>
</cp:coreProperties>
</file>